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ac7\Dropbox\University of Maryland\Research - UMD\NSTGRO\Greens Functions\Summer 2024 VTE Enclosed Version\Production Build\Materials\air\"/>
    </mc:Choice>
  </mc:AlternateContent>
  <xr:revisionPtr revIDLastSave="0" documentId="13_ncr:1_{9C56F2F4-F365-4FBE-ADCB-942C9658EB74}" xr6:coauthVersionLast="47" xr6:coauthVersionMax="47" xr10:uidLastSave="{00000000-0000-0000-0000-000000000000}"/>
  <bookViews>
    <workbookView xWindow="-120" yWindow="-120" windowWidth="38640" windowHeight="21240" xr2:uid="{37EFB570-2BB4-48FA-86D3-74A9B0BD7A20}"/>
  </bookViews>
  <sheets>
    <sheet name="Air_enthalpy" sheetId="1" r:id="rId1"/>
    <sheet name="Air_density" sheetId="6" r:id="rId2"/>
    <sheet name="Air_energy" sheetId="7" r:id="rId3"/>
    <sheet name="Air_Properties_ful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C4" i="7"/>
  <c r="D4" i="7"/>
  <c r="E4" i="7"/>
  <c r="B5" i="7"/>
  <c r="C5" i="7"/>
  <c r="D5" i="7"/>
  <c r="E5" i="7"/>
  <c r="B6" i="7"/>
  <c r="C6" i="7"/>
  <c r="D6" i="7"/>
  <c r="E6" i="7"/>
  <c r="B7" i="7"/>
  <c r="C7" i="7"/>
  <c r="D7" i="7"/>
  <c r="E7" i="7"/>
  <c r="B8" i="7"/>
  <c r="C8" i="7"/>
  <c r="D8" i="7"/>
  <c r="E8" i="7"/>
  <c r="B9" i="7"/>
  <c r="C9" i="7"/>
  <c r="D9" i="7"/>
  <c r="E9" i="7"/>
  <c r="B10" i="7"/>
  <c r="C10" i="7"/>
  <c r="D10" i="7"/>
  <c r="E10" i="7"/>
  <c r="B11" i="7"/>
  <c r="C11" i="7"/>
  <c r="D11" i="7"/>
  <c r="E11" i="7"/>
  <c r="B12" i="7"/>
  <c r="C12" i="7"/>
  <c r="D12" i="7"/>
  <c r="E12" i="7"/>
  <c r="B13" i="7"/>
  <c r="C13" i="7"/>
  <c r="D13" i="7"/>
  <c r="E13" i="7"/>
  <c r="B14" i="7"/>
  <c r="C14" i="7"/>
  <c r="D14" i="7"/>
  <c r="E14" i="7"/>
  <c r="B15" i="7"/>
  <c r="C15" i="7"/>
  <c r="D15" i="7"/>
  <c r="E15" i="7"/>
  <c r="B16" i="7"/>
  <c r="C16" i="7"/>
  <c r="D16" i="7"/>
  <c r="E16" i="7"/>
  <c r="B17" i="7"/>
  <c r="C17" i="7"/>
  <c r="D17" i="7"/>
  <c r="E17" i="7"/>
  <c r="B18" i="7"/>
  <c r="C18" i="7"/>
  <c r="D18" i="7"/>
  <c r="E18" i="7"/>
  <c r="B19" i="7"/>
  <c r="C19" i="7"/>
  <c r="D19" i="7"/>
  <c r="E19" i="7"/>
  <c r="B20" i="7"/>
  <c r="C20" i="7"/>
  <c r="D20" i="7"/>
  <c r="E20" i="7"/>
  <c r="B21" i="7"/>
  <c r="C21" i="7"/>
  <c r="D21" i="7"/>
  <c r="E21" i="7"/>
  <c r="B22" i="7"/>
  <c r="C22" i="7"/>
  <c r="D22" i="7"/>
  <c r="E22" i="7"/>
  <c r="B23" i="7"/>
  <c r="C23" i="7"/>
  <c r="D23" i="7"/>
  <c r="E23" i="7"/>
  <c r="B24" i="7"/>
  <c r="C24" i="7"/>
  <c r="D24" i="7"/>
  <c r="E24" i="7"/>
  <c r="B25" i="7"/>
  <c r="C25" i="7"/>
  <c r="D25" i="7"/>
  <c r="E25" i="7"/>
  <c r="B26" i="7"/>
  <c r="C26" i="7"/>
  <c r="D26" i="7"/>
  <c r="E26" i="7"/>
  <c r="B27" i="7"/>
  <c r="C27" i="7"/>
  <c r="D27" i="7"/>
  <c r="E27" i="7"/>
  <c r="B28" i="7"/>
  <c r="C28" i="7"/>
  <c r="D28" i="7"/>
  <c r="E28" i="7"/>
  <c r="B29" i="7"/>
  <c r="C29" i="7"/>
  <c r="D29" i="7"/>
  <c r="E29" i="7"/>
  <c r="B30" i="7"/>
  <c r="C30" i="7"/>
  <c r="D30" i="7"/>
  <c r="E30" i="7"/>
  <c r="B31" i="7"/>
  <c r="C31" i="7"/>
  <c r="D31" i="7"/>
  <c r="E31" i="7"/>
  <c r="B32" i="7"/>
  <c r="C32" i="7"/>
  <c r="D32" i="7"/>
  <c r="E32" i="7"/>
  <c r="B33" i="7"/>
  <c r="C33" i="7"/>
  <c r="D33" i="7"/>
  <c r="E33" i="7"/>
  <c r="B34" i="7"/>
  <c r="C34" i="7"/>
  <c r="D34" i="7"/>
  <c r="E34" i="7"/>
  <c r="B35" i="7"/>
  <c r="C35" i="7"/>
  <c r="D35" i="7"/>
  <c r="E35" i="7"/>
  <c r="B36" i="7"/>
  <c r="C36" i="7"/>
  <c r="D36" i="7"/>
  <c r="E36" i="7"/>
  <c r="B37" i="7"/>
  <c r="C37" i="7"/>
  <c r="D37" i="7"/>
  <c r="E37" i="7"/>
  <c r="B38" i="7"/>
  <c r="C38" i="7"/>
  <c r="D38" i="7"/>
  <c r="E38" i="7"/>
  <c r="B39" i="7"/>
  <c r="C39" i="7"/>
  <c r="D39" i="7"/>
  <c r="E39" i="7"/>
  <c r="B40" i="7"/>
  <c r="C40" i="7"/>
  <c r="D40" i="7"/>
  <c r="E40" i="7"/>
  <c r="B41" i="7"/>
  <c r="C41" i="7"/>
  <c r="D41" i="7"/>
  <c r="E41" i="7"/>
  <c r="B42" i="7"/>
  <c r="C42" i="7"/>
  <c r="D42" i="7"/>
  <c r="E42" i="7"/>
  <c r="B43" i="7"/>
  <c r="C43" i="7"/>
  <c r="D43" i="7"/>
  <c r="E43" i="7"/>
  <c r="B44" i="7"/>
  <c r="C44" i="7"/>
  <c r="D44" i="7"/>
  <c r="E44" i="7"/>
  <c r="B45" i="7"/>
  <c r="C45" i="7"/>
  <c r="D45" i="7"/>
  <c r="E45" i="7"/>
  <c r="B46" i="7"/>
  <c r="C46" i="7"/>
  <c r="D46" i="7"/>
  <c r="E46" i="7"/>
  <c r="B47" i="7"/>
  <c r="C47" i="7"/>
  <c r="D47" i="7"/>
  <c r="E47" i="7"/>
  <c r="B48" i="7"/>
  <c r="C48" i="7"/>
  <c r="D48" i="7"/>
  <c r="E48" i="7"/>
  <c r="B49" i="7"/>
  <c r="C49" i="7"/>
  <c r="D49" i="7"/>
  <c r="E49" i="7"/>
  <c r="B50" i="7"/>
  <c r="C50" i="7"/>
  <c r="D50" i="7"/>
  <c r="E50" i="7"/>
  <c r="B51" i="7"/>
  <c r="C51" i="7"/>
  <c r="D51" i="7"/>
  <c r="E51" i="7"/>
  <c r="B52" i="7"/>
  <c r="C52" i="7"/>
  <c r="D52" i="7"/>
  <c r="E52" i="7"/>
  <c r="B53" i="7"/>
  <c r="C53" i="7"/>
  <c r="D53" i="7"/>
  <c r="E53" i="7"/>
  <c r="B54" i="7"/>
  <c r="C54" i="7"/>
  <c r="D54" i="7"/>
  <c r="E54" i="7"/>
  <c r="B55" i="7"/>
  <c r="C55" i="7"/>
  <c r="D55" i="7"/>
  <c r="E55" i="7"/>
  <c r="B56" i="7"/>
  <c r="C56" i="7"/>
  <c r="D56" i="7"/>
  <c r="E56" i="7"/>
  <c r="B57" i="7"/>
  <c r="C57" i="7"/>
  <c r="D57" i="7"/>
  <c r="E57" i="7"/>
  <c r="B58" i="7"/>
  <c r="C58" i="7"/>
  <c r="D58" i="7"/>
  <c r="E58" i="7"/>
  <c r="B59" i="7"/>
  <c r="C59" i="7"/>
  <c r="D59" i="7"/>
  <c r="E59" i="7"/>
  <c r="B60" i="7"/>
  <c r="C60" i="7"/>
  <c r="D60" i="7"/>
  <c r="E60" i="7"/>
  <c r="B61" i="7"/>
  <c r="C61" i="7"/>
  <c r="D61" i="7"/>
  <c r="E61" i="7"/>
  <c r="B62" i="7"/>
  <c r="C62" i="7"/>
  <c r="D62" i="7"/>
  <c r="E62" i="7"/>
  <c r="B63" i="7"/>
  <c r="C63" i="7"/>
  <c r="D63" i="7"/>
  <c r="E63" i="7"/>
  <c r="B64" i="7"/>
  <c r="C64" i="7"/>
  <c r="D64" i="7"/>
  <c r="E64" i="7"/>
  <c r="B65" i="7"/>
  <c r="C65" i="7"/>
  <c r="D65" i="7"/>
  <c r="E65" i="7"/>
  <c r="B66" i="7"/>
  <c r="C66" i="7"/>
  <c r="D66" i="7"/>
  <c r="E66" i="7"/>
  <c r="B67" i="7"/>
  <c r="C67" i="7"/>
  <c r="D67" i="7"/>
  <c r="E67" i="7"/>
  <c r="B68" i="7"/>
  <c r="C68" i="7"/>
  <c r="D68" i="7"/>
  <c r="E68" i="7"/>
  <c r="B69" i="7"/>
  <c r="C69" i="7"/>
  <c r="D69" i="7"/>
  <c r="E69" i="7"/>
  <c r="B70" i="7"/>
  <c r="C70" i="7"/>
  <c r="D70" i="7"/>
  <c r="E70" i="7"/>
  <c r="B71" i="7"/>
  <c r="C71" i="7"/>
  <c r="D71" i="7"/>
  <c r="E71" i="7"/>
  <c r="B72" i="7"/>
  <c r="C72" i="7"/>
  <c r="D72" i="7"/>
  <c r="E72" i="7"/>
  <c r="B73" i="7"/>
  <c r="C73" i="7"/>
  <c r="D73" i="7"/>
  <c r="E73" i="7"/>
  <c r="B74" i="7"/>
  <c r="C74" i="7"/>
  <c r="D74" i="7"/>
  <c r="E74" i="7"/>
  <c r="B75" i="7"/>
  <c r="C75" i="7"/>
  <c r="D75" i="7"/>
  <c r="E75" i="7"/>
  <c r="B76" i="7"/>
  <c r="C76" i="7"/>
  <c r="D76" i="7"/>
  <c r="E76" i="7"/>
  <c r="B77" i="7"/>
  <c r="C77" i="7"/>
  <c r="D77" i="7"/>
  <c r="E77" i="7"/>
  <c r="B78" i="7"/>
  <c r="C78" i="7"/>
  <c r="D78" i="7"/>
  <c r="E78" i="7"/>
  <c r="B79" i="7"/>
  <c r="C79" i="7"/>
  <c r="D79" i="7"/>
  <c r="E79" i="7"/>
  <c r="B80" i="7"/>
  <c r="C80" i="7"/>
  <c r="D80" i="7"/>
  <c r="E80" i="7"/>
  <c r="B81" i="7"/>
  <c r="C81" i="7"/>
  <c r="D81" i="7"/>
  <c r="E81" i="7"/>
  <c r="B82" i="7"/>
  <c r="C82" i="7"/>
  <c r="D82" i="7"/>
  <c r="E82" i="7"/>
  <c r="B83" i="7"/>
  <c r="C83" i="7"/>
  <c r="D83" i="7"/>
  <c r="E83" i="7"/>
  <c r="B84" i="7"/>
  <c r="C84" i="7"/>
  <c r="D84" i="7"/>
  <c r="E84" i="7"/>
  <c r="B85" i="7"/>
  <c r="C85" i="7"/>
  <c r="D85" i="7"/>
  <c r="E85" i="7"/>
  <c r="B86" i="7"/>
  <c r="C86" i="7"/>
  <c r="D86" i="7"/>
  <c r="E86" i="7"/>
  <c r="B87" i="7"/>
  <c r="C87" i="7"/>
  <c r="D87" i="7"/>
  <c r="E87" i="7"/>
  <c r="B88" i="7"/>
  <c r="C88" i="7"/>
  <c r="D88" i="7"/>
  <c r="E88" i="7"/>
  <c r="B89" i="7"/>
  <c r="C89" i="7"/>
  <c r="D89" i="7"/>
  <c r="E89" i="7"/>
  <c r="B90" i="7"/>
  <c r="C90" i="7"/>
  <c r="D90" i="7"/>
  <c r="E90" i="7"/>
  <c r="B91" i="7"/>
  <c r="C91" i="7"/>
  <c r="D91" i="7"/>
  <c r="E91" i="7"/>
  <c r="B92" i="7"/>
  <c r="C92" i="7"/>
  <c r="D92" i="7"/>
  <c r="E92" i="7"/>
  <c r="B93" i="7"/>
  <c r="C93" i="7"/>
  <c r="D93" i="7"/>
  <c r="E93" i="7"/>
  <c r="B94" i="7"/>
  <c r="C94" i="7"/>
  <c r="D94" i="7"/>
  <c r="E94" i="7"/>
  <c r="B95" i="7"/>
  <c r="C95" i="7"/>
  <c r="D95" i="7"/>
  <c r="E95" i="7"/>
  <c r="B96" i="7"/>
  <c r="C96" i="7"/>
  <c r="D96" i="7"/>
  <c r="E96" i="7"/>
  <c r="B97" i="7"/>
  <c r="C97" i="7"/>
  <c r="D97" i="7"/>
  <c r="E97" i="7"/>
  <c r="B98" i="7"/>
  <c r="C98" i="7"/>
  <c r="D98" i="7"/>
  <c r="E98" i="7"/>
  <c r="B99" i="7"/>
  <c r="C99" i="7"/>
  <c r="D99" i="7"/>
  <c r="E99" i="7"/>
  <c r="B100" i="7"/>
  <c r="C100" i="7"/>
  <c r="D100" i="7"/>
  <c r="E100" i="7"/>
  <c r="B101" i="7"/>
  <c r="C101" i="7"/>
  <c r="D101" i="7"/>
  <c r="E101" i="7"/>
  <c r="B102" i="7"/>
  <c r="C102" i="7"/>
  <c r="D102" i="7"/>
  <c r="E102" i="7"/>
  <c r="B103" i="7"/>
  <c r="C103" i="7"/>
  <c r="D103" i="7"/>
  <c r="E103" i="7"/>
  <c r="B104" i="7"/>
  <c r="C104" i="7"/>
  <c r="D104" i="7"/>
  <c r="E104" i="7"/>
  <c r="B105" i="7"/>
  <c r="C105" i="7"/>
  <c r="D105" i="7"/>
  <c r="E105" i="7"/>
  <c r="B106" i="7"/>
  <c r="C106" i="7"/>
  <c r="D106" i="7"/>
  <c r="E106" i="7"/>
  <c r="B107" i="7"/>
  <c r="C107" i="7"/>
  <c r="D107" i="7"/>
  <c r="E107" i="7"/>
  <c r="B108" i="7"/>
  <c r="C108" i="7"/>
  <c r="D108" i="7"/>
  <c r="E108" i="7"/>
  <c r="B109" i="7"/>
  <c r="C109" i="7"/>
  <c r="D109" i="7"/>
  <c r="E109" i="7"/>
  <c r="B110" i="7"/>
  <c r="C110" i="7"/>
  <c r="D110" i="7"/>
  <c r="E110" i="7"/>
  <c r="B111" i="7"/>
  <c r="C111" i="7"/>
  <c r="D111" i="7"/>
  <c r="E111" i="7"/>
  <c r="B112" i="7"/>
  <c r="C112" i="7"/>
  <c r="D112" i="7"/>
  <c r="E112" i="7"/>
  <c r="B113" i="7"/>
  <c r="C113" i="7"/>
  <c r="D113" i="7"/>
  <c r="E113" i="7"/>
  <c r="B114" i="7"/>
  <c r="C114" i="7"/>
  <c r="D114" i="7"/>
  <c r="E114" i="7"/>
  <c r="B115" i="7"/>
  <c r="C115" i="7"/>
  <c r="D115" i="7"/>
  <c r="E115" i="7"/>
  <c r="B116" i="7"/>
  <c r="C116" i="7"/>
  <c r="D116" i="7"/>
  <c r="E116" i="7"/>
  <c r="B117" i="7"/>
  <c r="C117" i="7"/>
  <c r="D117" i="7"/>
  <c r="E117" i="7"/>
  <c r="B118" i="7"/>
  <c r="C118" i="7"/>
  <c r="D118" i="7"/>
  <c r="E118" i="7"/>
  <c r="B119" i="7"/>
  <c r="C119" i="7"/>
  <c r="D119" i="7"/>
  <c r="E119" i="7"/>
  <c r="B120" i="7"/>
  <c r="C120" i="7"/>
  <c r="D120" i="7"/>
  <c r="E120" i="7"/>
  <c r="B121" i="7"/>
  <c r="C121" i="7"/>
  <c r="D121" i="7"/>
  <c r="E121" i="7"/>
  <c r="B122" i="7"/>
  <c r="C122" i="7"/>
  <c r="D122" i="7"/>
  <c r="E122" i="7"/>
  <c r="B123" i="7"/>
  <c r="C123" i="7"/>
  <c r="D123" i="7"/>
  <c r="E123" i="7"/>
  <c r="B124" i="7"/>
  <c r="C124" i="7"/>
  <c r="D124" i="7"/>
  <c r="E124" i="7"/>
  <c r="B125" i="7"/>
  <c r="C125" i="7"/>
  <c r="D125" i="7"/>
  <c r="E125" i="7"/>
  <c r="B126" i="7"/>
  <c r="C126" i="7"/>
  <c r="D126" i="7"/>
  <c r="E126" i="7"/>
  <c r="B127" i="7"/>
  <c r="C127" i="7"/>
  <c r="D127" i="7"/>
  <c r="E127" i="7"/>
  <c r="B128" i="7"/>
  <c r="C128" i="7"/>
  <c r="D128" i="7"/>
  <c r="E128" i="7"/>
  <c r="B129" i="7"/>
  <c r="C129" i="7"/>
  <c r="D129" i="7"/>
  <c r="E129" i="7"/>
  <c r="B130" i="7"/>
  <c r="C130" i="7"/>
  <c r="D130" i="7"/>
  <c r="E130" i="7"/>
  <c r="B131" i="7"/>
  <c r="C131" i="7"/>
  <c r="D131" i="7"/>
  <c r="E131" i="7"/>
  <c r="B132" i="7"/>
  <c r="C132" i="7"/>
  <c r="D132" i="7"/>
  <c r="E132" i="7"/>
  <c r="B133" i="7"/>
  <c r="C133" i="7"/>
  <c r="D133" i="7"/>
  <c r="E133" i="7"/>
  <c r="B134" i="7"/>
  <c r="C134" i="7"/>
  <c r="D134" i="7"/>
  <c r="E134" i="7"/>
  <c r="B135" i="7"/>
  <c r="C135" i="7"/>
  <c r="D135" i="7"/>
  <c r="E135" i="7"/>
  <c r="B136" i="7"/>
  <c r="C136" i="7"/>
  <c r="D136" i="7"/>
  <c r="E136" i="7"/>
  <c r="B137" i="7"/>
  <c r="C137" i="7"/>
  <c r="D137" i="7"/>
  <c r="E137" i="7"/>
  <c r="B138" i="7"/>
  <c r="C138" i="7"/>
  <c r="D138" i="7"/>
  <c r="E138" i="7"/>
  <c r="B139" i="7"/>
  <c r="C139" i="7"/>
  <c r="D139" i="7"/>
  <c r="E139" i="7"/>
  <c r="B140" i="7"/>
  <c r="C140" i="7"/>
  <c r="D140" i="7"/>
  <c r="E140" i="7"/>
  <c r="B141" i="7"/>
  <c r="C141" i="7"/>
  <c r="D141" i="7"/>
  <c r="E141" i="7"/>
  <c r="B142" i="7"/>
  <c r="C142" i="7"/>
  <c r="D142" i="7"/>
  <c r="E142" i="7"/>
  <c r="B143" i="7"/>
  <c r="C143" i="7"/>
  <c r="D143" i="7"/>
  <c r="E143" i="7"/>
  <c r="B144" i="7"/>
  <c r="C144" i="7"/>
  <c r="D144" i="7"/>
  <c r="E144" i="7"/>
  <c r="B145" i="7"/>
  <c r="C145" i="7"/>
  <c r="D145" i="7"/>
  <c r="E145" i="7"/>
  <c r="B146" i="7"/>
  <c r="C146" i="7"/>
  <c r="D146" i="7"/>
  <c r="E146" i="7"/>
  <c r="B147" i="7"/>
  <c r="C147" i="7"/>
  <c r="D147" i="7"/>
  <c r="E147" i="7"/>
  <c r="B148" i="7"/>
  <c r="C148" i="7"/>
  <c r="D148" i="7"/>
  <c r="E148" i="7"/>
  <c r="B149" i="7"/>
  <c r="C149" i="7"/>
  <c r="D149" i="7"/>
  <c r="E149" i="7"/>
  <c r="B150" i="7"/>
  <c r="C150" i="7"/>
  <c r="D150" i="7"/>
  <c r="E150" i="7"/>
  <c r="B151" i="7"/>
  <c r="C151" i="7"/>
  <c r="D151" i="7"/>
  <c r="E151" i="7"/>
  <c r="B152" i="7"/>
  <c r="C152" i="7"/>
  <c r="D152" i="7"/>
  <c r="E152" i="7"/>
  <c r="B153" i="7"/>
  <c r="C153" i="7"/>
  <c r="D153" i="7"/>
  <c r="E153" i="7"/>
  <c r="C3" i="7"/>
  <c r="D3" i="7"/>
  <c r="E3" i="7"/>
  <c r="B3" i="7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B53" i="6"/>
  <c r="C53" i="6"/>
  <c r="D53" i="6"/>
  <c r="B54" i="6"/>
  <c r="C54" i="6"/>
  <c r="D54" i="6"/>
  <c r="B55" i="6"/>
  <c r="C55" i="6"/>
  <c r="D55" i="6"/>
  <c r="B56" i="6"/>
  <c r="C56" i="6"/>
  <c r="D56" i="6"/>
  <c r="B57" i="6"/>
  <c r="C57" i="6"/>
  <c r="D57" i="6"/>
  <c r="B58" i="6"/>
  <c r="C58" i="6"/>
  <c r="D58" i="6"/>
  <c r="B59" i="6"/>
  <c r="C59" i="6"/>
  <c r="D59" i="6"/>
  <c r="B60" i="6"/>
  <c r="C60" i="6"/>
  <c r="D60" i="6"/>
  <c r="B61" i="6"/>
  <c r="C61" i="6"/>
  <c r="D61" i="6"/>
  <c r="B62" i="6"/>
  <c r="C62" i="6"/>
  <c r="D62" i="6"/>
  <c r="B63" i="6"/>
  <c r="C63" i="6"/>
  <c r="D63" i="6"/>
  <c r="B64" i="6"/>
  <c r="C64" i="6"/>
  <c r="D64" i="6"/>
  <c r="B65" i="6"/>
  <c r="C65" i="6"/>
  <c r="D65" i="6"/>
  <c r="B66" i="6"/>
  <c r="C66" i="6"/>
  <c r="D66" i="6"/>
  <c r="B67" i="6"/>
  <c r="C67" i="6"/>
  <c r="D67" i="6"/>
  <c r="B68" i="6"/>
  <c r="C68" i="6"/>
  <c r="D68" i="6"/>
  <c r="B69" i="6"/>
  <c r="C69" i="6"/>
  <c r="D69" i="6"/>
  <c r="B70" i="6"/>
  <c r="C70" i="6"/>
  <c r="D70" i="6"/>
  <c r="B71" i="6"/>
  <c r="C71" i="6"/>
  <c r="D71" i="6"/>
  <c r="B72" i="6"/>
  <c r="C72" i="6"/>
  <c r="D72" i="6"/>
  <c r="B73" i="6"/>
  <c r="C73" i="6"/>
  <c r="D73" i="6"/>
  <c r="B74" i="6"/>
  <c r="C74" i="6"/>
  <c r="D74" i="6"/>
  <c r="B75" i="6"/>
  <c r="C75" i="6"/>
  <c r="D75" i="6"/>
  <c r="B76" i="6"/>
  <c r="C76" i="6"/>
  <c r="D76" i="6"/>
  <c r="B77" i="6"/>
  <c r="C77" i="6"/>
  <c r="D77" i="6"/>
  <c r="B78" i="6"/>
  <c r="C78" i="6"/>
  <c r="D78" i="6"/>
  <c r="B79" i="6"/>
  <c r="C79" i="6"/>
  <c r="D79" i="6"/>
  <c r="B80" i="6"/>
  <c r="C80" i="6"/>
  <c r="D80" i="6"/>
  <c r="B81" i="6"/>
  <c r="C81" i="6"/>
  <c r="D81" i="6"/>
  <c r="B82" i="6"/>
  <c r="C82" i="6"/>
  <c r="D82" i="6"/>
  <c r="B83" i="6"/>
  <c r="C83" i="6"/>
  <c r="D83" i="6"/>
  <c r="B84" i="6"/>
  <c r="C84" i="6"/>
  <c r="D84" i="6"/>
  <c r="B85" i="6"/>
  <c r="C85" i="6"/>
  <c r="D85" i="6"/>
  <c r="B86" i="6"/>
  <c r="C86" i="6"/>
  <c r="D86" i="6"/>
  <c r="B87" i="6"/>
  <c r="C87" i="6"/>
  <c r="D87" i="6"/>
  <c r="B88" i="6"/>
  <c r="C88" i="6"/>
  <c r="D88" i="6"/>
  <c r="B89" i="6"/>
  <c r="C89" i="6"/>
  <c r="D89" i="6"/>
  <c r="B90" i="6"/>
  <c r="C90" i="6"/>
  <c r="D90" i="6"/>
  <c r="B91" i="6"/>
  <c r="C91" i="6"/>
  <c r="D91" i="6"/>
  <c r="B92" i="6"/>
  <c r="C92" i="6"/>
  <c r="D92" i="6"/>
  <c r="B93" i="6"/>
  <c r="C93" i="6"/>
  <c r="D93" i="6"/>
  <c r="B94" i="6"/>
  <c r="C94" i="6"/>
  <c r="D94" i="6"/>
  <c r="B95" i="6"/>
  <c r="C95" i="6"/>
  <c r="D95" i="6"/>
  <c r="B96" i="6"/>
  <c r="C96" i="6"/>
  <c r="D96" i="6"/>
  <c r="B97" i="6"/>
  <c r="C97" i="6"/>
  <c r="D97" i="6"/>
  <c r="B98" i="6"/>
  <c r="C98" i="6"/>
  <c r="D98" i="6"/>
  <c r="B99" i="6"/>
  <c r="C99" i="6"/>
  <c r="D99" i="6"/>
  <c r="B100" i="6"/>
  <c r="C100" i="6"/>
  <c r="D100" i="6"/>
  <c r="B101" i="6"/>
  <c r="C101" i="6"/>
  <c r="D101" i="6"/>
  <c r="B102" i="6"/>
  <c r="C102" i="6"/>
  <c r="D102" i="6"/>
  <c r="B103" i="6"/>
  <c r="C103" i="6"/>
  <c r="D103" i="6"/>
  <c r="B104" i="6"/>
  <c r="C104" i="6"/>
  <c r="D104" i="6"/>
  <c r="B105" i="6"/>
  <c r="C105" i="6"/>
  <c r="D105" i="6"/>
  <c r="B106" i="6"/>
  <c r="C106" i="6"/>
  <c r="D106" i="6"/>
  <c r="B107" i="6"/>
  <c r="C107" i="6"/>
  <c r="D107" i="6"/>
  <c r="B108" i="6"/>
  <c r="C108" i="6"/>
  <c r="D108" i="6"/>
  <c r="B109" i="6"/>
  <c r="C109" i="6"/>
  <c r="D109" i="6"/>
  <c r="B110" i="6"/>
  <c r="C110" i="6"/>
  <c r="D110" i="6"/>
  <c r="B111" i="6"/>
  <c r="C111" i="6"/>
  <c r="D111" i="6"/>
  <c r="B112" i="6"/>
  <c r="C112" i="6"/>
  <c r="D112" i="6"/>
  <c r="B113" i="6"/>
  <c r="C113" i="6"/>
  <c r="D113" i="6"/>
  <c r="B114" i="6"/>
  <c r="C114" i="6"/>
  <c r="D114" i="6"/>
  <c r="B115" i="6"/>
  <c r="C115" i="6"/>
  <c r="D115" i="6"/>
  <c r="B116" i="6"/>
  <c r="C116" i="6"/>
  <c r="D116" i="6"/>
  <c r="B117" i="6"/>
  <c r="C117" i="6"/>
  <c r="D117" i="6"/>
  <c r="B118" i="6"/>
  <c r="C118" i="6"/>
  <c r="D118" i="6"/>
  <c r="B119" i="6"/>
  <c r="C119" i="6"/>
  <c r="D119" i="6"/>
  <c r="B120" i="6"/>
  <c r="C120" i="6"/>
  <c r="D120" i="6"/>
  <c r="B121" i="6"/>
  <c r="C121" i="6"/>
  <c r="D121" i="6"/>
  <c r="B122" i="6"/>
  <c r="C122" i="6"/>
  <c r="D122" i="6"/>
  <c r="B123" i="6"/>
  <c r="C123" i="6"/>
  <c r="D123" i="6"/>
  <c r="B124" i="6"/>
  <c r="C124" i="6"/>
  <c r="D124" i="6"/>
  <c r="B125" i="6"/>
  <c r="C125" i="6"/>
  <c r="D125" i="6"/>
  <c r="B126" i="6"/>
  <c r="C126" i="6"/>
  <c r="D126" i="6"/>
  <c r="B127" i="6"/>
  <c r="C127" i="6"/>
  <c r="D127" i="6"/>
  <c r="B128" i="6"/>
  <c r="C128" i="6"/>
  <c r="D128" i="6"/>
  <c r="B129" i="6"/>
  <c r="C129" i="6"/>
  <c r="D129" i="6"/>
  <c r="B130" i="6"/>
  <c r="C130" i="6"/>
  <c r="D130" i="6"/>
  <c r="B131" i="6"/>
  <c r="C131" i="6"/>
  <c r="D131" i="6"/>
  <c r="B132" i="6"/>
  <c r="C132" i="6"/>
  <c r="D132" i="6"/>
  <c r="B133" i="6"/>
  <c r="C133" i="6"/>
  <c r="D133" i="6"/>
  <c r="B134" i="6"/>
  <c r="C134" i="6"/>
  <c r="D134" i="6"/>
  <c r="B135" i="6"/>
  <c r="C135" i="6"/>
  <c r="D135" i="6"/>
  <c r="B136" i="6"/>
  <c r="C136" i="6"/>
  <c r="D136" i="6"/>
  <c r="B137" i="6"/>
  <c r="C137" i="6"/>
  <c r="D137" i="6"/>
  <c r="B138" i="6"/>
  <c r="C138" i="6"/>
  <c r="D138" i="6"/>
  <c r="B139" i="6"/>
  <c r="C139" i="6"/>
  <c r="D139" i="6"/>
  <c r="B140" i="6"/>
  <c r="C140" i="6"/>
  <c r="D140" i="6"/>
  <c r="B141" i="6"/>
  <c r="C141" i="6"/>
  <c r="D141" i="6"/>
  <c r="B142" i="6"/>
  <c r="C142" i="6"/>
  <c r="D142" i="6"/>
  <c r="B143" i="6"/>
  <c r="C143" i="6"/>
  <c r="D143" i="6"/>
  <c r="B144" i="6"/>
  <c r="C144" i="6"/>
  <c r="D144" i="6"/>
  <c r="B145" i="6"/>
  <c r="C145" i="6"/>
  <c r="D145" i="6"/>
  <c r="B146" i="6"/>
  <c r="C146" i="6"/>
  <c r="D146" i="6"/>
  <c r="B147" i="6"/>
  <c r="C147" i="6"/>
  <c r="D147" i="6"/>
  <c r="B148" i="6"/>
  <c r="C148" i="6"/>
  <c r="D148" i="6"/>
  <c r="B149" i="6"/>
  <c r="C149" i="6"/>
  <c r="D149" i="6"/>
  <c r="B150" i="6"/>
  <c r="C150" i="6"/>
  <c r="D150" i="6"/>
  <c r="B151" i="6"/>
  <c r="C151" i="6"/>
  <c r="D151" i="6"/>
  <c r="B152" i="6"/>
  <c r="C152" i="6"/>
  <c r="D152" i="6"/>
  <c r="B153" i="6"/>
  <c r="C153" i="6"/>
  <c r="D153" i="6"/>
  <c r="C3" i="6"/>
  <c r="D3" i="6"/>
  <c r="B3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M152" i="5"/>
  <c r="L152" i="5"/>
  <c r="K152" i="5"/>
  <c r="J152" i="5"/>
  <c r="I152" i="5"/>
  <c r="H152" i="5"/>
  <c r="G152" i="5"/>
  <c r="F152" i="5"/>
  <c r="M151" i="5"/>
  <c r="L151" i="5"/>
  <c r="K151" i="5"/>
  <c r="J151" i="5"/>
  <c r="I151" i="5"/>
  <c r="H151" i="5"/>
  <c r="G151" i="5"/>
  <c r="F151" i="5"/>
  <c r="M150" i="5"/>
  <c r="L150" i="5"/>
  <c r="K150" i="5"/>
  <c r="J150" i="5"/>
  <c r="I150" i="5"/>
  <c r="H150" i="5"/>
  <c r="G150" i="5"/>
  <c r="F150" i="5"/>
  <c r="M149" i="5"/>
  <c r="L149" i="5"/>
  <c r="K149" i="5"/>
  <c r="J149" i="5"/>
  <c r="I149" i="5"/>
  <c r="H149" i="5"/>
  <c r="G149" i="5"/>
  <c r="F149" i="5"/>
  <c r="M148" i="5"/>
  <c r="L148" i="5"/>
  <c r="K148" i="5"/>
  <c r="J148" i="5"/>
  <c r="I148" i="5"/>
  <c r="H148" i="5"/>
  <c r="G148" i="5"/>
  <c r="F148" i="5"/>
  <c r="M147" i="5"/>
  <c r="L147" i="5"/>
  <c r="K147" i="5"/>
  <c r="J147" i="5"/>
  <c r="I147" i="5"/>
  <c r="H147" i="5"/>
  <c r="G147" i="5"/>
  <c r="F147" i="5"/>
  <c r="M146" i="5"/>
  <c r="L146" i="5"/>
  <c r="K146" i="5"/>
  <c r="J146" i="5"/>
  <c r="I146" i="5"/>
  <c r="H146" i="5"/>
  <c r="G146" i="5"/>
  <c r="F146" i="5"/>
  <c r="M145" i="5"/>
  <c r="L145" i="5"/>
  <c r="K145" i="5"/>
  <c r="J145" i="5"/>
  <c r="I145" i="5"/>
  <c r="H145" i="5"/>
  <c r="G145" i="5"/>
  <c r="F145" i="5"/>
  <c r="M144" i="5"/>
  <c r="L144" i="5"/>
  <c r="K144" i="5"/>
  <c r="J144" i="5"/>
  <c r="I144" i="5"/>
  <c r="H144" i="5"/>
  <c r="G144" i="5"/>
  <c r="F144" i="5"/>
  <c r="M143" i="5"/>
  <c r="L143" i="5"/>
  <c r="K143" i="5"/>
  <c r="J143" i="5"/>
  <c r="I143" i="5"/>
  <c r="H143" i="5"/>
  <c r="G143" i="5"/>
  <c r="F143" i="5"/>
  <c r="M142" i="5"/>
  <c r="L142" i="5"/>
  <c r="K142" i="5"/>
  <c r="J142" i="5"/>
  <c r="I142" i="5"/>
  <c r="H142" i="5"/>
  <c r="G142" i="5"/>
  <c r="F142" i="5"/>
  <c r="M141" i="5"/>
  <c r="L141" i="5"/>
  <c r="K141" i="5"/>
  <c r="J141" i="5"/>
  <c r="I141" i="5"/>
  <c r="H141" i="5"/>
  <c r="G141" i="5"/>
  <c r="F141" i="5"/>
  <c r="M140" i="5"/>
  <c r="L140" i="5"/>
  <c r="K140" i="5"/>
  <c r="J140" i="5"/>
  <c r="I140" i="5"/>
  <c r="H140" i="5"/>
  <c r="G140" i="5"/>
  <c r="F140" i="5"/>
  <c r="M139" i="5"/>
  <c r="L139" i="5"/>
  <c r="K139" i="5"/>
  <c r="J139" i="5"/>
  <c r="I139" i="5"/>
  <c r="H139" i="5"/>
  <c r="G139" i="5"/>
  <c r="F139" i="5"/>
  <c r="M138" i="5"/>
  <c r="L138" i="5"/>
  <c r="K138" i="5"/>
  <c r="J138" i="5"/>
  <c r="I138" i="5"/>
  <c r="H138" i="5"/>
  <c r="G138" i="5"/>
  <c r="F138" i="5"/>
  <c r="M137" i="5"/>
  <c r="L137" i="5"/>
  <c r="K137" i="5"/>
  <c r="J137" i="5"/>
  <c r="I137" i="5"/>
  <c r="H137" i="5"/>
  <c r="G137" i="5"/>
  <c r="F137" i="5"/>
  <c r="M136" i="5"/>
  <c r="L136" i="5"/>
  <c r="K136" i="5"/>
  <c r="J136" i="5"/>
  <c r="I136" i="5"/>
  <c r="H136" i="5"/>
  <c r="G136" i="5"/>
  <c r="F136" i="5"/>
  <c r="M135" i="5"/>
  <c r="L135" i="5"/>
  <c r="K135" i="5"/>
  <c r="J135" i="5"/>
  <c r="I135" i="5"/>
  <c r="H135" i="5"/>
  <c r="G135" i="5"/>
  <c r="F135" i="5"/>
  <c r="M134" i="5"/>
  <c r="L134" i="5"/>
  <c r="K134" i="5"/>
  <c r="J134" i="5"/>
  <c r="I134" i="5"/>
  <c r="H134" i="5"/>
  <c r="G134" i="5"/>
  <c r="F134" i="5"/>
  <c r="M133" i="5"/>
  <c r="L133" i="5"/>
  <c r="K133" i="5"/>
  <c r="J133" i="5"/>
  <c r="I133" i="5"/>
  <c r="H133" i="5"/>
  <c r="G133" i="5"/>
  <c r="F133" i="5"/>
  <c r="M132" i="5"/>
  <c r="L132" i="5"/>
  <c r="K132" i="5"/>
  <c r="J132" i="5"/>
  <c r="I132" i="5"/>
  <c r="H132" i="5"/>
  <c r="G132" i="5"/>
  <c r="F132" i="5"/>
  <c r="M131" i="5"/>
  <c r="L131" i="5"/>
  <c r="K131" i="5"/>
  <c r="J131" i="5"/>
  <c r="I131" i="5"/>
  <c r="H131" i="5"/>
  <c r="G131" i="5"/>
  <c r="F131" i="5"/>
  <c r="M130" i="5"/>
  <c r="L130" i="5"/>
  <c r="K130" i="5"/>
  <c r="J130" i="5"/>
  <c r="I130" i="5"/>
  <c r="H130" i="5"/>
  <c r="G130" i="5"/>
  <c r="F130" i="5"/>
  <c r="M129" i="5"/>
  <c r="L129" i="5"/>
  <c r="K129" i="5"/>
  <c r="J129" i="5"/>
  <c r="I129" i="5"/>
  <c r="H129" i="5"/>
  <c r="G129" i="5"/>
  <c r="F129" i="5"/>
  <c r="M128" i="5"/>
  <c r="L128" i="5"/>
  <c r="K128" i="5"/>
  <c r="J128" i="5"/>
  <c r="I128" i="5"/>
  <c r="H128" i="5"/>
  <c r="G128" i="5"/>
  <c r="F128" i="5"/>
  <c r="M127" i="5"/>
  <c r="L127" i="5"/>
  <c r="K127" i="5"/>
  <c r="J127" i="5"/>
  <c r="I127" i="5"/>
  <c r="H127" i="5"/>
  <c r="G127" i="5"/>
  <c r="F127" i="5"/>
  <c r="M126" i="5"/>
  <c r="L126" i="5"/>
  <c r="K126" i="5"/>
  <c r="J126" i="5"/>
  <c r="I126" i="5"/>
  <c r="H126" i="5"/>
  <c r="G126" i="5"/>
  <c r="F126" i="5"/>
  <c r="M125" i="5"/>
  <c r="L125" i="5"/>
  <c r="K125" i="5"/>
  <c r="J125" i="5"/>
  <c r="I125" i="5"/>
  <c r="H125" i="5"/>
  <c r="G125" i="5"/>
  <c r="F125" i="5"/>
  <c r="M124" i="5"/>
  <c r="L124" i="5"/>
  <c r="K124" i="5"/>
  <c r="J124" i="5"/>
  <c r="I124" i="5"/>
  <c r="H124" i="5"/>
  <c r="G124" i="5"/>
  <c r="F124" i="5"/>
  <c r="M123" i="5"/>
  <c r="L123" i="5"/>
  <c r="K123" i="5"/>
  <c r="J123" i="5"/>
  <c r="I123" i="5"/>
  <c r="H123" i="5"/>
  <c r="G123" i="5"/>
  <c r="F123" i="5"/>
  <c r="M122" i="5"/>
  <c r="L122" i="5"/>
  <c r="K122" i="5"/>
  <c r="J122" i="5"/>
  <c r="I122" i="5"/>
  <c r="H122" i="5"/>
  <c r="G122" i="5"/>
  <c r="F122" i="5"/>
  <c r="M121" i="5"/>
  <c r="L121" i="5"/>
  <c r="K121" i="5"/>
  <c r="J121" i="5"/>
  <c r="I121" i="5"/>
  <c r="H121" i="5"/>
  <c r="G121" i="5"/>
  <c r="F121" i="5"/>
  <c r="M120" i="5"/>
  <c r="L120" i="5"/>
  <c r="K120" i="5"/>
  <c r="J120" i="5"/>
  <c r="I120" i="5"/>
  <c r="H120" i="5"/>
  <c r="G120" i="5"/>
  <c r="F120" i="5"/>
  <c r="M119" i="5"/>
  <c r="L119" i="5"/>
  <c r="K119" i="5"/>
  <c r="J119" i="5"/>
  <c r="I119" i="5"/>
  <c r="H119" i="5"/>
  <c r="G119" i="5"/>
  <c r="F119" i="5"/>
  <c r="M118" i="5"/>
  <c r="L118" i="5"/>
  <c r="K118" i="5"/>
  <c r="J118" i="5"/>
  <c r="I118" i="5"/>
  <c r="H118" i="5"/>
  <c r="G118" i="5"/>
  <c r="F118" i="5"/>
  <c r="M117" i="5"/>
  <c r="L117" i="5"/>
  <c r="K117" i="5"/>
  <c r="J117" i="5"/>
  <c r="I117" i="5"/>
  <c r="H117" i="5"/>
  <c r="G117" i="5"/>
  <c r="F117" i="5"/>
  <c r="M116" i="5"/>
  <c r="L116" i="5"/>
  <c r="K116" i="5"/>
  <c r="J116" i="5"/>
  <c r="I116" i="5"/>
  <c r="H116" i="5"/>
  <c r="G116" i="5"/>
  <c r="F116" i="5"/>
  <c r="M115" i="5"/>
  <c r="L115" i="5"/>
  <c r="K115" i="5"/>
  <c r="J115" i="5"/>
  <c r="I115" i="5"/>
  <c r="H115" i="5"/>
  <c r="G115" i="5"/>
  <c r="F115" i="5"/>
  <c r="M114" i="5"/>
  <c r="L114" i="5"/>
  <c r="K114" i="5"/>
  <c r="J114" i="5"/>
  <c r="I114" i="5"/>
  <c r="H114" i="5"/>
  <c r="G114" i="5"/>
  <c r="F114" i="5"/>
  <c r="M113" i="5"/>
  <c r="L113" i="5"/>
  <c r="K113" i="5"/>
  <c r="J113" i="5"/>
  <c r="I113" i="5"/>
  <c r="H113" i="5"/>
  <c r="G113" i="5"/>
  <c r="F113" i="5"/>
  <c r="M112" i="5"/>
  <c r="L112" i="5"/>
  <c r="K112" i="5"/>
  <c r="J112" i="5"/>
  <c r="I112" i="5"/>
  <c r="H112" i="5"/>
  <c r="G112" i="5"/>
  <c r="F112" i="5"/>
  <c r="M111" i="5"/>
  <c r="L111" i="5"/>
  <c r="K111" i="5"/>
  <c r="J111" i="5"/>
  <c r="I111" i="5"/>
  <c r="H111" i="5"/>
  <c r="G111" i="5"/>
  <c r="F111" i="5"/>
  <c r="M110" i="5"/>
  <c r="L110" i="5"/>
  <c r="K110" i="5"/>
  <c r="J110" i="5"/>
  <c r="I110" i="5"/>
  <c r="H110" i="5"/>
  <c r="G110" i="5"/>
  <c r="F110" i="5"/>
  <c r="M109" i="5"/>
  <c r="L109" i="5"/>
  <c r="K109" i="5"/>
  <c r="J109" i="5"/>
  <c r="I109" i="5"/>
  <c r="H109" i="5"/>
  <c r="G109" i="5"/>
  <c r="F109" i="5"/>
  <c r="M108" i="5"/>
  <c r="L108" i="5"/>
  <c r="K108" i="5"/>
  <c r="J108" i="5"/>
  <c r="I108" i="5"/>
  <c r="H108" i="5"/>
  <c r="G108" i="5"/>
  <c r="F108" i="5"/>
  <c r="M107" i="5"/>
  <c r="L107" i="5"/>
  <c r="K107" i="5"/>
  <c r="J107" i="5"/>
  <c r="I107" i="5"/>
  <c r="H107" i="5"/>
  <c r="G107" i="5"/>
  <c r="F107" i="5"/>
  <c r="M106" i="5"/>
  <c r="L106" i="5"/>
  <c r="K106" i="5"/>
  <c r="J106" i="5"/>
  <c r="I106" i="5"/>
  <c r="H106" i="5"/>
  <c r="G106" i="5"/>
  <c r="F106" i="5"/>
  <c r="M105" i="5"/>
  <c r="L105" i="5"/>
  <c r="K105" i="5"/>
  <c r="J105" i="5"/>
  <c r="I105" i="5"/>
  <c r="H105" i="5"/>
  <c r="G105" i="5"/>
  <c r="F105" i="5"/>
  <c r="M104" i="5"/>
  <c r="L104" i="5"/>
  <c r="K104" i="5"/>
  <c r="J104" i="5"/>
  <c r="I104" i="5"/>
  <c r="H104" i="5"/>
  <c r="G104" i="5"/>
  <c r="F104" i="5"/>
  <c r="M103" i="5"/>
  <c r="L103" i="5"/>
  <c r="K103" i="5"/>
  <c r="J103" i="5"/>
  <c r="I103" i="5"/>
  <c r="H103" i="5"/>
  <c r="G103" i="5"/>
  <c r="F103" i="5"/>
  <c r="M102" i="5"/>
  <c r="L102" i="5"/>
  <c r="K102" i="5"/>
  <c r="J102" i="5"/>
  <c r="I102" i="5"/>
  <c r="H102" i="5"/>
  <c r="G102" i="5"/>
  <c r="F102" i="5"/>
  <c r="M101" i="5"/>
  <c r="L101" i="5"/>
  <c r="K101" i="5"/>
  <c r="J101" i="5"/>
  <c r="I101" i="5"/>
  <c r="H101" i="5"/>
  <c r="G101" i="5"/>
  <c r="F101" i="5"/>
  <c r="M100" i="5"/>
  <c r="L100" i="5"/>
  <c r="K100" i="5"/>
  <c r="J100" i="5"/>
  <c r="I100" i="5"/>
  <c r="H100" i="5"/>
  <c r="G100" i="5"/>
  <c r="F100" i="5"/>
  <c r="M99" i="5"/>
  <c r="L99" i="5"/>
  <c r="K99" i="5"/>
  <c r="J99" i="5"/>
  <c r="I99" i="5"/>
  <c r="H99" i="5"/>
  <c r="G99" i="5"/>
  <c r="F99" i="5"/>
  <c r="M98" i="5"/>
  <c r="L98" i="5"/>
  <c r="K98" i="5"/>
  <c r="J98" i="5"/>
  <c r="I98" i="5"/>
  <c r="H98" i="5"/>
  <c r="G98" i="5"/>
  <c r="F98" i="5"/>
  <c r="M97" i="5"/>
  <c r="L97" i="5"/>
  <c r="K97" i="5"/>
  <c r="J97" i="5"/>
  <c r="I97" i="5"/>
  <c r="H97" i="5"/>
  <c r="G97" i="5"/>
  <c r="F97" i="5"/>
  <c r="M96" i="5"/>
  <c r="L96" i="5"/>
  <c r="K96" i="5"/>
  <c r="J96" i="5"/>
  <c r="I96" i="5"/>
  <c r="H96" i="5"/>
  <c r="G96" i="5"/>
  <c r="F96" i="5"/>
  <c r="M95" i="5"/>
  <c r="L95" i="5"/>
  <c r="K95" i="5"/>
  <c r="J95" i="5"/>
  <c r="I95" i="5"/>
  <c r="H95" i="5"/>
  <c r="G95" i="5"/>
  <c r="F95" i="5"/>
  <c r="M94" i="5"/>
  <c r="L94" i="5"/>
  <c r="K94" i="5"/>
  <c r="J94" i="5"/>
  <c r="I94" i="5"/>
  <c r="H94" i="5"/>
  <c r="G94" i="5"/>
  <c r="F94" i="5"/>
  <c r="M93" i="5"/>
  <c r="L93" i="5"/>
  <c r="K93" i="5"/>
  <c r="J93" i="5"/>
  <c r="I93" i="5"/>
  <c r="H93" i="5"/>
  <c r="G93" i="5"/>
  <c r="F93" i="5"/>
  <c r="M92" i="5"/>
  <c r="L92" i="5"/>
  <c r="K92" i="5"/>
  <c r="J92" i="5"/>
  <c r="I92" i="5"/>
  <c r="H92" i="5"/>
  <c r="G92" i="5"/>
  <c r="F92" i="5"/>
  <c r="M91" i="5"/>
  <c r="L91" i="5"/>
  <c r="K91" i="5"/>
  <c r="J91" i="5"/>
  <c r="I91" i="5"/>
  <c r="H91" i="5"/>
  <c r="G91" i="5"/>
  <c r="F91" i="5"/>
  <c r="M90" i="5"/>
  <c r="L90" i="5"/>
  <c r="K90" i="5"/>
  <c r="J90" i="5"/>
  <c r="I90" i="5"/>
  <c r="H90" i="5"/>
  <c r="G90" i="5"/>
  <c r="F90" i="5"/>
  <c r="M89" i="5"/>
  <c r="L89" i="5"/>
  <c r="K89" i="5"/>
  <c r="J89" i="5"/>
  <c r="I89" i="5"/>
  <c r="H89" i="5"/>
  <c r="G89" i="5"/>
  <c r="F89" i="5"/>
  <c r="M88" i="5"/>
  <c r="L88" i="5"/>
  <c r="K88" i="5"/>
  <c r="J88" i="5"/>
  <c r="I88" i="5"/>
  <c r="H88" i="5"/>
  <c r="G88" i="5"/>
  <c r="F88" i="5"/>
  <c r="M87" i="5"/>
  <c r="L87" i="5"/>
  <c r="K87" i="5"/>
  <c r="J87" i="5"/>
  <c r="I87" i="5"/>
  <c r="H87" i="5"/>
  <c r="G87" i="5"/>
  <c r="F87" i="5"/>
  <c r="M86" i="5"/>
  <c r="L86" i="5"/>
  <c r="K86" i="5"/>
  <c r="J86" i="5"/>
  <c r="I86" i="5"/>
  <c r="H86" i="5"/>
  <c r="G86" i="5"/>
  <c r="F86" i="5"/>
  <c r="M85" i="5"/>
  <c r="L85" i="5"/>
  <c r="K85" i="5"/>
  <c r="J85" i="5"/>
  <c r="I85" i="5"/>
  <c r="H85" i="5"/>
  <c r="G85" i="5"/>
  <c r="F85" i="5"/>
  <c r="M84" i="5"/>
  <c r="L84" i="5"/>
  <c r="K84" i="5"/>
  <c r="J84" i="5"/>
  <c r="I84" i="5"/>
  <c r="H84" i="5"/>
  <c r="G84" i="5"/>
  <c r="F84" i="5"/>
  <c r="M83" i="5"/>
  <c r="L83" i="5"/>
  <c r="K83" i="5"/>
  <c r="J83" i="5"/>
  <c r="I83" i="5"/>
  <c r="H83" i="5"/>
  <c r="G83" i="5"/>
  <c r="F83" i="5"/>
  <c r="M82" i="5"/>
  <c r="L82" i="5"/>
  <c r="K82" i="5"/>
  <c r="J82" i="5"/>
  <c r="I82" i="5"/>
  <c r="H82" i="5"/>
  <c r="G82" i="5"/>
  <c r="F82" i="5"/>
  <c r="M81" i="5"/>
  <c r="L81" i="5"/>
  <c r="K81" i="5"/>
  <c r="J81" i="5"/>
  <c r="I81" i="5"/>
  <c r="H81" i="5"/>
  <c r="G81" i="5"/>
  <c r="F81" i="5"/>
  <c r="M80" i="5"/>
  <c r="L80" i="5"/>
  <c r="K80" i="5"/>
  <c r="J80" i="5"/>
  <c r="I80" i="5"/>
  <c r="H80" i="5"/>
  <c r="G80" i="5"/>
  <c r="F80" i="5"/>
  <c r="M79" i="5"/>
  <c r="L79" i="5"/>
  <c r="K79" i="5"/>
  <c r="J79" i="5"/>
  <c r="I79" i="5"/>
  <c r="H79" i="5"/>
  <c r="G79" i="5"/>
  <c r="F79" i="5"/>
  <c r="M78" i="5"/>
  <c r="L78" i="5"/>
  <c r="K78" i="5"/>
  <c r="J78" i="5"/>
  <c r="I78" i="5"/>
  <c r="H78" i="5"/>
  <c r="G78" i="5"/>
  <c r="F78" i="5"/>
  <c r="M77" i="5"/>
  <c r="L77" i="5"/>
  <c r="K77" i="5"/>
  <c r="J77" i="5"/>
  <c r="I77" i="5"/>
  <c r="H77" i="5"/>
  <c r="G77" i="5"/>
  <c r="F77" i="5"/>
  <c r="M76" i="5"/>
  <c r="L76" i="5"/>
  <c r="K76" i="5"/>
  <c r="J76" i="5"/>
  <c r="I76" i="5"/>
  <c r="H76" i="5"/>
  <c r="G76" i="5"/>
  <c r="F76" i="5"/>
  <c r="M75" i="5"/>
  <c r="L75" i="5"/>
  <c r="K75" i="5"/>
  <c r="J75" i="5"/>
  <c r="I75" i="5"/>
  <c r="H75" i="5"/>
  <c r="G75" i="5"/>
  <c r="F75" i="5"/>
  <c r="M74" i="5"/>
  <c r="L74" i="5"/>
  <c r="K74" i="5"/>
  <c r="J74" i="5"/>
  <c r="I74" i="5"/>
  <c r="H74" i="5"/>
  <c r="G74" i="5"/>
  <c r="F74" i="5"/>
  <c r="M73" i="5"/>
  <c r="L73" i="5"/>
  <c r="K73" i="5"/>
  <c r="J73" i="5"/>
  <c r="I73" i="5"/>
  <c r="H73" i="5"/>
  <c r="G73" i="5"/>
  <c r="F73" i="5"/>
  <c r="M72" i="5"/>
  <c r="L72" i="5"/>
  <c r="K72" i="5"/>
  <c r="J72" i="5"/>
  <c r="I72" i="5"/>
  <c r="H72" i="5"/>
  <c r="G72" i="5"/>
  <c r="F72" i="5"/>
  <c r="M71" i="5"/>
  <c r="L71" i="5"/>
  <c r="K71" i="5"/>
  <c r="J71" i="5"/>
  <c r="I71" i="5"/>
  <c r="H71" i="5"/>
  <c r="G71" i="5"/>
  <c r="F71" i="5"/>
  <c r="M70" i="5"/>
  <c r="L70" i="5"/>
  <c r="K70" i="5"/>
  <c r="J70" i="5"/>
  <c r="I70" i="5"/>
  <c r="H70" i="5"/>
  <c r="G70" i="5"/>
  <c r="F70" i="5"/>
  <c r="M69" i="5"/>
  <c r="L69" i="5"/>
  <c r="K69" i="5"/>
  <c r="J69" i="5"/>
  <c r="I69" i="5"/>
  <c r="H69" i="5"/>
  <c r="G69" i="5"/>
  <c r="F69" i="5"/>
  <c r="M68" i="5"/>
  <c r="L68" i="5"/>
  <c r="K68" i="5"/>
  <c r="J68" i="5"/>
  <c r="I68" i="5"/>
  <c r="H68" i="5"/>
  <c r="G68" i="5"/>
  <c r="F68" i="5"/>
  <c r="M67" i="5"/>
  <c r="L67" i="5"/>
  <c r="K67" i="5"/>
  <c r="J67" i="5"/>
  <c r="I67" i="5"/>
  <c r="H67" i="5"/>
  <c r="G67" i="5"/>
  <c r="F67" i="5"/>
  <c r="M66" i="5"/>
  <c r="L66" i="5"/>
  <c r="K66" i="5"/>
  <c r="J66" i="5"/>
  <c r="I66" i="5"/>
  <c r="H66" i="5"/>
  <c r="G66" i="5"/>
  <c r="F66" i="5"/>
  <c r="M65" i="5"/>
  <c r="L65" i="5"/>
  <c r="K65" i="5"/>
  <c r="J65" i="5"/>
  <c r="I65" i="5"/>
  <c r="H65" i="5"/>
  <c r="G65" i="5"/>
  <c r="F65" i="5"/>
  <c r="M64" i="5"/>
  <c r="L64" i="5"/>
  <c r="K64" i="5"/>
  <c r="J64" i="5"/>
  <c r="I64" i="5"/>
  <c r="H64" i="5"/>
  <c r="G64" i="5"/>
  <c r="F64" i="5"/>
  <c r="M63" i="5"/>
  <c r="L63" i="5"/>
  <c r="K63" i="5"/>
  <c r="J63" i="5"/>
  <c r="I63" i="5"/>
  <c r="H63" i="5"/>
  <c r="G63" i="5"/>
  <c r="F63" i="5"/>
  <c r="M62" i="5"/>
  <c r="L62" i="5"/>
  <c r="K62" i="5"/>
  <c r="J62" i="5"/>
  <c r="I62" i="5"/>
  <c r="H62" i="5"/>
  <c r="G62" i="5"/>
  <c r="F62" i="5"/>
  <c r="M61" i="5"/>
  <c r="L61" i="5"/>
  <c r="K61" i="5"/>
  <c r="J61" i="5"/>
  <c r="I61" i="5"/>
  <c r="H61" i="5"/>
  <c r="G61" i="5"/>
  <c r="F61" i="5"/>
  <c r="M60" i="5"/>
  <c r="L60" i="5"/>
  <c r="K60" i="5"/>
  <c r="J60" i="5"/>
  <c r="I60" i="5"/>
  <c r="H60" i="5"/>
  <c r="G60" i="5"/>
  <c r="F60" i="5"/>
  <c r="M59" i="5"/>
  <c r="L59" i="5"/>
  <c r="K59" i="5"/>
  <c r="J59" i="5"/>
  <c r="I59" i="5"/>
  <c r="H59" i="5"/>
  <c r="G59" i="5"/>
  <c r="F59" i="5"/>
  <c r="M58" i="5"/>
  <c r="L58" i="5"/>
  <c r="K58" i="5"/>
  <c r="J58" i="5"/>
  <c r="I58" i="5"/>
  <c r="H58" i="5"/>
  <c r="G58" i="5"/>
  <c r="F58" i="5"/>
  <c r="M57" i="5"/>
  <c r="L57" i="5"/>
  <c r="K57" i="5"/>
  <c r="J57" i="5"/>
  <c r="I57" i="5"/>
  <c r="H57" i="5"/>
  <c r="G57" i="5"/>
  <c r="F57" i="5"/>
  <c r="M56" i="5"/>
  <c r="L56" i="5"/>
  <c r="K56" i="5"/>
  <c r="J56" i="5"/>
  <c r="I56" i="5"/>
  <c r="H56" i="5"/>
  <c r="G56" i="5"/>
  <c r="F56" i="5"/>
  <c r="M55" i="5"/>
  <c r="L55" i="5"/>
  <c r="K55" i="5"/>
  <c r="J55" i="5"/>
  <c r="I55" i="5"/>
  <c r="H55" i="5"/>
  <c r="G55" i="5"/>
  <c r="F55" i="5"/>
  <c r="M54" i="5"/>
  <c r="L54" i="5"/>
  <c r="K54" i="5"/>
  <c r="J54" i="5"/>
  <c r="I54" i="5"/>
  <c r="H54" i="5"/>
  <c r="G54" i="5"/>
  <c r="F54" i="5"/>
  <c r="M53" i="5"/>
  <c r="L53" i="5"/>
  <c r="K53" i="5"/>
  <c r="J53" i="5"/>
  <c r="I53" i="5"/>
  <c r="H53" i="5"/>
  <c r="G53" i="5"/>
  <c r="F53" i="5"/>
  <c r="M52" i="5"/>
  <c r="L52" i="5"/>
  <c r="K52" i="5"/>
  <c r="J52" i="5"/>
  <c r="I52" i="5"/>
  <c r="H52" i="5"/>
  <c r="G52" i="5"/>
  <c r="F52" i="5"/>
  <c r="M51" i="5"/>
  <c r="L51" i="5"/>
  <c r="K51" i="5"/>
  <c r="J51" i="5"/>
  <c r="I51" i="5"/>
  <c r="H51" i="5"/>
  <c r="G51" i="5"/>
  <c r="F51" i="5"/>
  <c r="M50" i="5"/>
  <c r="L50" i="5"/>
  <c r="K50" i="5"/>
  <c r="J50" i="5"/>
  <c r="I50" i="5"/>
  <c r="H50" i="5"/>
  <c r="G50" i="5"/>
  <c r="F50" i="5"/>
  <c r="M49" i="5"/>
  <c r="L49" i="5"/>
  <c r="K49" i="5"/>
  <c r="J49" i="5"/>
  <c r="I49" i="5"/>
  <c r="H49" i="5"/>
  <c r="G49" i="5"/>
  <c r="F49" i="5"/>
  <c r="M48" i="5"/>
  <c r="L48" i="5"/>
  <c r="K48" i="5"/>
  <c r="J48" i="5"/>
  <c r="I48" i="5"/>
  <c r="H48" i="5"/>
  <c r="G48" i="5"/>
  <c r="F48" i="5"/>
  <c r="M47" i="5"/>
  <c r="L47" i="5"/>
  <c r="K47" i="5"/>
  <c r="J47" i="5"/>
  <c r="I47" i="5"/>
  <c r="H47" i="5"/>
  <c r="G47" i="5"/>
  <c r="F47" i="5"/>
  <c r="M46" i="5"/>
  <c r="L46" i="5"/>
  <c r="K46" i="5"/>
  <c r="J46" i="5"/>
  <c r="I46" i="5"/>
  <c r="H46" i="5"/>
  <c r="G46" i="5"/>
  <c r="F46" i="5"/>
  <c r="M45" i="5"/>
  <c r="L45" i="5"/>
  <c r="K45" i="5"/>
  <c r="J45" i="5"/>
  <c r="I45" i="5"/>
  <c r="H45" i="5"/>
  <c r="G45" i="5"/>
  <c r="F45" i="5"/>
  <c r="M44" i="5"/>
  <c r="L44" i="5"/>
  <c r="K44" i="5"/>
  <c r="J44" i="5"/>
  <c r="I44" i="5"/>
  <c r="H44" i="5"/>
  <c r="G44" i="5"/>
  <c r="F44" i="5"/>
  <c r="M43" i="5"/>
  <c r="L43" i="5"/>
  <c r="K43" i="5"/>
  <c r="J43" i="5"/>
  <c r="I43" i="5"/>
  <c r="H43" i="5"/>
  <c r="G43" i="5"/>
  <c r="F43" i="5"/>
  <c r="M42" i="5"/>
  <c r="L42" i="5"/>
  <c r="K42" i="5"/>
  <c r="J42" i="5"/>
  <c r="I42" i="5"/>
  <c r="H42" i="5"/>
  <c r="G42" i="5"/>
  <c r="F42" i="5"/>
  <c r="M41" i="5"/>
  <c r="L41" i="5"/>
  <c r="K41" i="5"/>
  <c r="J41" i="5"/>
  <c r="I41" i="5"/>
  <c r="H41" i="5"/>
  <c r="G41" i="5"/>
  <c r="F41" i="5"/>
  <c r="M40" i="5"/>
  <c r="L40" i="5"/>
  <c r="K40" i="5"/>
  <c r="J40" i="5"/>
  <c r="I40" i="5"/>
  <c r="H40" i="5"/>
  <c r="G40" i="5"/>
  <c r="F40" i="5"/>
  <c r="M39" i="5"/>
  <c r="L39" i="5"/>
  <c r="K39" i="5"/>
  <c r="J39" i="5"/>
  <c r="I39" i="5"/>
  <c r="H39" i="5"/>
  <c r="G39" i="5"/>
  <c r="F39" i="5"/>
  <c r="M38" i="5"/>
  <c r="L38" i="5"/>
  <c r="K38" i="5"/>
  <c r="J38" i="5"/>
  <c r="I38" i="5"/>
  <c r="H38" i="5"/>
  <c r="G38" i="5"/>
  <c r="F38" i="5"/>
  <c r="M37" i="5"/>
  <c r="L37" i="5"/>
  <c r="K37" i="5"/>
  <c r="J37" i="5"/>
  <c r="I37" i="5"/>
  <c r="H37" i="5"/>
  <c r="G37" i="5"/>
  <c r="F37" i="5"/>
  <c r="M36" i="5"/>
  <c r="L36" i="5"/>
  <c r="K36" i="5"/>
  <c r="J36" i="5"/>
  <c r="I36" i="5"/>
  <c r="H36" i="5"/>
  <c r="G36" i="5"/>
  <c r="F36" i="5"/>
  <c r="M35" i="5"/>
  <c r="L35" i="5"/>
  <c r="K35" i="5"/>
  <c r="J35" i="5"/>
  <c r="I35" i="5"/>
  <c r="H35" i="5"/>
  <c r="G35" i="5"/>
  <c r="F35" i="5"/>
  <c r="M34" i="5"/>
  <c r="L34" i="5"/>
  <c r="K34" i="5"/>
  <c r="J34" i="5"/>
  <c r="I34" i="5"/>
  <c r="H34" i="5"/>
  <c r="G34" i="5"/>
  <c r="F34" i="5"/>
  <c r="M33" i="5"/>
  <c r="L33" i="5"/>
  <c r="K33" i="5"/>
  <c r="J33" i="5"/>
  <c r="I33" i="5"/>
  <c r="H33" i="5"/>
  <c r="G33" i="5"/>
  <c r="F33" i="5"/>
  <c r="M32" i="5"/>
  <c r="L32" i="5"/>
  <c r="K32" i="5"/>
  <c r="J32" i="5"/>
  <c r="I32" i="5"/>
  <c r="H32" i="5"/>
  <c r="G32" i="5"/>
  <c r="F32" i="5"/>
  <c r="M31" i="5"/>
  <c r="L31" i="5"/>
  <c r="K31" i="5"/>
  <c r="J31" i="5"/>
  <c r="I31" i="5"/>
  <c r="H31" i="5"/>
  <c r="G31" i="5"/>
  <c r="F31" i="5"/>
  <c r="M30" i="5"/>
  <c r="L30" i="5"/>
  <c r="K30" i="5"/>
  <c r="J30" i="5"/>
  <c r="I30" i="5"/>
  <c r="H30" i="5"/>
  <c r="G30" i="5"/>
  <c r="F30" i="5"/>
  <c r="M29" i="5"/>
  <c r="L29" i="5"/>
  <c r="K29" i="5"/>
  <c r="J29" i="5"/>
  <c r="I29" i="5"/>
  <c r="H29" i="5"/>
  <c r="G29" i="5"/>
  <c r="F29" i="5"/>
  <c r="M28" i="5"/>
  <c r="L28" i="5"/>
  <c r="K28" i="5"/>
  <c r="J28" i="5"/>
  <c r="I28" i="5"/>
  <c r="H28" i="5"/>
  <c r="G28" i="5"/>
  <c r="F28" i="5"/>
  <c r="M27" i="5"/>
  <c r="L27" i="5"/>
  <c r="K27" i="5"/>
  <c r="J27" i="5"/>
  <c r="I27" i="5"/>
  <c r="H27" i="5"/>
  <c r="G27" i="5"/>
  <c r="F27" i="5"/>
  <c r="M26" i="5"/>
  <c r="L26" i="5"/>
  <c r="K26" i="5"/>
  <c r="J26" i="5"/>
  <c r="I26" i="5"/>
  <c r="H26" i="5"/>
  <c r="G26" i="5"/>
  <c r="F26" i="5"/>
  <c r="M25" i="5"/>
  <c r="L25" i="5"/>
  <c r="K25" i="5"/>
  <c r="J25" i="5"/>
  <c r="I25" i="5"/>
  <c r="H25" i="5"/>
  <c r="G25" i="5"/>
  <c r="F25" i="5"/>
  <c r="M24" i="5"/>
  <c r="L24" i="5"/>
  <c r="K24" i="5"/>
  <c r="J24" i="5"/>
  <c r="I24" i="5"/>
  <c r="H24" i="5"/>
  <c r="G24" i="5"/>
  <c r="F24" i="5"/>
  <c r="M23" i="5"/>
  <c r="L23" i="5"/>
  <c r="K23" i="5"/>
  <c r="J23" i="5"/>
  <c r="I23" i="5"/>
  <c r="H23" i="5"/>
  <c r="G23" i="5"/>
  <c r="F23" i="5"/>
  <c r="M22" i="5"/>
  <c r="L22" i="5"/>
  <c r="K22" i="5"/>
  <c r="J22" i="5"/>
  <c r="I22" i="5"/>
  <c r="H22" i="5"/>
  <c r="G22" i="5"/>
  <c r="F22" i="5"/>
  <c r="M21" i="5"/>
  <c r="L21" i="5"/>
  <c r="K21" i="5"/>
  <c r="J21" i="5"/>
  <c r="I21" i="5"/>
  <c r="H21" i="5"/>
  <c r="G21" i="5"/>
  <c r="F21" i="5"/>
  <c r="M20" i="5"/>
  <c r="L20" i="5"/>
  <c r="K20" i="5"/>
  <c r="J20" i="5"/>
  <c r="I20" i="5"/>
  <c r="H20" i="5"/>
  <c r="G20" i="5"/>
  <c r="F20" i="5"/>
  <c r="M19" i="5"/>
  <c r="L19" i="5"/>
  <c r="K19" i="5"/>
  <c r="J19" i="5"/>
  <c r="I19" i="5"/>
  <c r="H19" i="5"/>
  <c r="G19" i="5"/>
  <c r="F19" i="5"/>
  <c r="M18" i="5"/>
  <c r="L18" i="5"/>
  <c r="K18" i="5"/>
  <c r="J18" i="5"/>
  <c r="I18" i="5"/>
  <c r="H18" i="5"/>
  <c r="G18" i="5"/>
  <c r="F18" i="5"/>
  <c r="M17" i="5"/>
  <c r="L17" i="5"/>
  <c r="K17" i="5"/>
  <c r="J17" i="5"/>
  <c r="I17" i="5"/>
  <c r="H17" i="5"/>
  <c r="G17" i="5"/>
  <c r="F17" i="5"/>
  <c r="M16" i="5"/>
  <c r="L16" i="5"/>
  <c r="K16" i="5"/>
  <c r="J16" i="5"/>
  <c r="I16" i="5"/>
  <c r="H16" i="5"/>
  <c r="G16" i="5"/>
  <c r="F16" i="5"/>
  <c r="M15" i="5"/>
  <c r="L15" i="5"/>
  <c r="K15" i="5"/>
  <c r="J15" i="5"/>
  <c r="I15" i="5"/>
  <c r="H15" i="5"/>
  <c r="G15" i="5"/>
  <c r="F15" i="5"/>
  <c r="M14" i="5"/>
  <c r="L14" i="5"/>
  <c r="K14" i="5"/>
  <c r="J14" i="5"/>
  <c r="I14" i="5"/>
  <c r="H14" i="5"/>
  <c r="G14" i="5"/>
  <c r="F14" i="5"/>
  <c r="M13" i="5"/>
  <c r="L13" i="5"/>
  <c r="K13" i="5"/>
  <c r="J13" i="5"/>
  <c r="I13" i="5"/>
  <c r="H13" i="5"/>
  <c r="G13" i="5"/>
  <c r="F13" i="5"/>
  <c r="M12" i="5"/>
  <c r="L12" i="5"/>
  <c r="K12" i="5"/>
  <c r="J12" i="5"/>
  <c r="I12" i="5"/>
  <c r="H12" i="5"/>
  <c r="G12" i="5"/>
  <c r="F12" i="5"/>
  <c r="M11" i="5"/>
  <c r="L11" i="5"/>
  <c r="K11" i="5"/>
  <c r="J11" i="5"/>
  <c r="I11" i="5"/>
  <c r="H11" i="5"/>
  <c r="G11" i="5"/>
  <c r="F11" i="5"/>
  <c r="M10" i="5"/>
  <c r="L10" i="5"/>
  <c r="K10" i="5"/>
  <c r="J10" i="5"/>
  <c r="I10" i="5"/>
  <c r="H10" i="5"/>
  <c r="G10" i="5"/>
  <c r="F10" i="5"/>
  <c r="M9" i="5"/>
  <c r="L9" i="5"/>
  <c r="K9" i="5"/>
  <c r="J9" i="5"/>
  <c r="I9" i="5"/>
  <c r="H9" i="5"/>
  <c r="G9" i="5"/>
  <c r="F9" i="5"/>
  <c r="M8" i="5"/>
  <c r="L8" i="5"/>
  <c r="K8" i="5"/>
  <c r="J8" i="5"/>
  <c r="I8" i="5"/>
  <c r="H8" i="5"/>
  <c r="G8" i="5"/>
  <c r="F8" i="5"/>
  <c r="M7" i="5"/>
  <c r="L7" i="5"/>
  <c r="K7" i="5"/>
  <c r="J7" i="5"/>
  <c r="I7" i="5"/>
  <c r="H7" i="5"/>
  <c r="G7" i="5"/>
  <c r="F7" i="5"/>
  <c r="M6" i="5"/>
  <c r="L6" i="5"/>
  <c r="K6" i="5"/>
  <c r="J6" i="5"/>
  <c r="I6" i="5"/>
  <c r="H6" i="5"/>
  <c r="G6" i="5"/>
  <c r="F6" i="5"/>
  <c r="M5" i="5"/>
  <c r="L5" i="5"/>
  <c r="K5" i="5"/>
  <c r="J5" i="5"/>
  <c r="I5" i="5"/>
  <c r="H5" i="5"/>
  <c r="G5" i="5"/>
  <c r="F5" i="5"/>
  <c r="M4" i="5"/>
  <c r="L4" i="5"/>
  <c r="K4" i="5"/>
  <c r="J4" i="5"/>
  <c r="I4" i="5"/>
  <c r="H4" i="5"/>
  <c r="G4" i="5"/>
  <c r="F4" i="5"/>
  <c r="M3" i="5"/>
  <c r="L3" i="5"/>
  <c r="K3" i="5"/>
  <c r="J3" i="5"/>
  <c r="I3" i="5"/>
  <c r="H3" i="5"/>
  <c r="G3" i="5"/>
  <c r="F3" i="5"/>
  <c r="M2" i="5"/>
  <c r="L2" i="5"/>
  <c r="K2" i="5"/>
  <c r="J2" i="5"/>
  <c r="I2" i="5"/>
  <c r="H2" i="5"/>
  <c r="G2" i="5"/>
  <c r="F2" i="5"/>
</calcChain>
</file>

<file path=xl/sharedStrings.xml><?xml version="1.0" encoding="utf-8"?>
<sst xmlns="http://schemas.openxmlformats.org/spreadsheetml/2006/main" count="19" uniqueCount="14">
  <si>
    <t>e (J/kg) (1atm)</t>
  </si>
  <si>
    <t>e (J/kg) (0.1atm)</t>
  </si>
  <si>
    <t>e (J/kg) (0.01atm)</t>
  </si>
  <si>
    <t>e (J/kg) (0.001atm)</t>
  </si>
  <si>
    <t>rho (kg/m3) (1atm)</t>
  </si>
  <si>
    <t>rho (kg/m3) (0.1atm)</t>
  </si>
  <si>
    <t>rho (kg/m3) (0.01atm)</t>
  </si>
  <si>
    <t>rho (kg/m3) (0.001atm)</t>
  </si>
  <si>
    <t>H (J/kg) (1atm)</t>
  </si>
  <si>
    <t>H (J/kg) (0.1atm)</t>
  </si>
  <si>
    <t>H (J/kg) (0.01atm)</t>
  </si>
  <si>
    <t>H (J/kg) (0.001atm)</t>
  </si>
  <si>
    <t>Temp (K)</t>
  </si>
  <si>
    <t>Pressure (atm)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</si>
</sst>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2" x14ac:knownFonts="1">
    <font>
      <sz val="11"/>
      <color theme="1"/>
      <name val="Aptos Narrow"/>
      <family val="2"/>
      <scheme val="minor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8140-DEE8-4755-8A1F-DA9B3F8B46AB}">
  <dimension ref="A1:E153"/>
  <sheetViews>
    <sheetView tabSelected="1" zoomScale="85" zoomScaleNormal="85" workbookViewId="0">
      <selection activeCell="F29" sqref="F29"/>
    </sheetView>
  </sheetViews>
  <sheetFormatPr defaultRowHeight="15" x14ac:dyDescent="0.25"/>
  <cols>
    <col min="1" max="1" width="11.85546875" bestFit="1" customWidth="1"/>
    <col min="2" max="2" width="24.85546875" bestFit="1" customWidth="1"/>
    <col min="3" max="3" width="23.5703125" bestFit="1" customWidth="1"/>
    <col min="4" max="4" width="22.28515625" bestFit="1" customWidth="1"/>
    <col min="5" max="5" width="20.140625" bestFit="1" customWidth="1"/>
  </cols>
  <sheetData>
    <row r="1" spans="1:5" x14ac:dyDescent="0.25">
      <c r="B1" s="2" t="s">
        <v>13</v>
      </c>
      <c r="C1" s="2"/>
      <c r="D1" s="2"/>
      <c r="E1" s="2"/>
    </row>
    <row r="2" spans="1:5" x14ac:dyDescent="0.25">
      <c r="A2" s="2" t="s">
        <v>12</v>
      </c>
      <c r="B2" s="2">
        <v>1E-3</v>
      </c>
      <c r="C2" s="2">
        <v>0.01</v>
      </c>
      <c r="D2" s="2">
        <v>0.1</v>
      </c>
      <c r="E2" s="2">
        <v>1</v>
      </c>
    </row>
    <row r="3" spans="1:5" x14ac:dyDescent="0.25">
      <c r="A3" s="1">
        <v>250</v>
      </c>
      <c r="B3">
        <v>-2680985.5233</v>
      </c>
      <c r="C3">
        <v>-2680985.5233</v>
      </c>
      <c r="D3">
        <v>-2680985.5233</v>
      </c>
      <c r="E3">
        <v>-2680985.5233</v>
      </c>
    </row>
    <row r="4" spans="1:5" x14ac:dyDescent="0.25">
      <c r="A4" s="1">
        <v>275</v>
      </c>
      <c r="B4">
        <v>-2656727.0211</v>
      </c>
      <c r="C4">
        <v>-2656727.0211999998</v>
      </c>
      <c r="D4">
        <v>-2656727.0211999998</v>
      </c>
      <c r="E4">
        <v>-2656727.0211999998</v>
      </c>
    </row>
    <row r="5" spans="1:5" x14ac:dyDescent="0.25">
      <c r="A5" s="1">
        <v>300</v>
      </c>
      <c r="B5">
        <v>-2632263.5838000001</v>
      </c>
      <c r="C5">
        <v>-2632263.585</v>
      </c>
      <c r="D5">
        <v>-2632263.5854000002</v>
      </c>
      <c r="E5">
        <v>-2632263.5855</v>
      </c>
    </row>
    <row r="6" spans="1:5" x14ac:dyDescent="0.25">
      <c r="A6" s="1">
        <v>325</v>
      </c>
      <c r="B6">
        <v>-2607601.5087000001</v>
      </c>
      <c r="C6">
        <v>-2607601.5260999999</v>
      </c>
      <c r="D6">
        <v>-2607601.5315999999</v>
      </c>
      <c r="E6">
        <v>-2607601.5334000001</v>
      </c>
    </row>
    <row r="7" spans="1:5" x14ac:dyDescent="0.25">
      <c r="A7" s="1">
        <v>350</v>
      </c>
      <c r="B7">
        <v>-2582745.7103000004</v>
      </c>
      <c r="C7">
        <v>-2582745.8816</v>
      </c>
      <c r="D7">
        <v>-2582745.9358000001</v>
      </c>
      <c r="E7">
        <v>-2582745.9530000002</v>
      </c>
    </row>
    <row r="8" spans="1:5" x14ac:dyDescent="0.25">
      <c r="A8" s="1">
        <v>375</v>
      </c>
      <c r="B8">
        <v>-2557698.3611999997</v>
      </c>
      <c r="C8">
        <v>-2557699.6064999998</v>
      </c>
      <c r="D8">
        <v>-2557700.0003</v>
      </c>
      <c r="E8">
        <v>-2557700.1249000002</v>
      </c>
    </row>
    <row r="9" spans="1:5" x14ac:dyDescent="0.25">
      <c r="A9" s="1">
        <v>400</v>
      </c>
      <c r="B9">
        <v>-2532455.4813000001</v>
      </c>
      <c r="C9">
        <v>-2532462.5574000003</v>
      </c>
      <c r="D9">
        <v>-2532464.7949999999</v>
      </c>
      <c r="E9">
        <v>-2532465.5027000001</v>
      </c>
    </row>
    <row r="10" spans="1:5" x14ac:dyDescent="0.25">
      <c r="A10" s="1">
        <v>425</v>
      </c>
      <c r="B10">
        <v>-2506995.1867</v>
      </c>
      <c r="C10">
        <v>-2507028.0003</v>
      </c>
      <c r="D10">
        <v>-2507038.3771000002</v>
      </c>
      <c r="E10">
        <v>-2507041.6584999999</v>
      </c>
    </row>
    <row r="11" spans="1:5" x14ac:dyDescent="0.25">
      <c r="A11" s="1">
        <v>450</v>
      </c>
      <c r="B11">
        <v>-2481243.7187999999</v>
      </c>
      <c r="C11">
        <v>-2481372.1294999998</v>
      </c>
      <c r="D11">
        <v>-2481412.7388000004</v>
      </c>
      <c r="E11">
        <v>-2481425.5808999999</v>
      </c>
    </row>
    <row r="12" spans="1:5" x14ac:dyDescent="0.25">
      <c r="A12" s="1">
        <v>475</v>
      </c>
      <c r="B12">
        <v>-2454992.7201</v>
      </c>
      <c r="C12">
        <v>-2455428.1381000001</v>
      </c>
      <c r="D12">
        <v>-2455565.8567999997</v>
      </c>
      <c r="E12">
        <v>-2455609.4099000003</v>
      </c>
    </row>
    <row r="13" spans="1:5" x14ac:dyDescent="0.25">
      <c r="A13" s="1">
        <v>500</v>
      </c>
      <c r="B13">
        <v>-2427724.6022999999</v>
      </c>
      <c r="C13">
        <v>-2429031.0659000003</v>
      </c>
      <c r="D13">
        <v>-2429444.4521999997</v>
      </c>
      <c r="E13">
        <v>-2429575.2011000002</v>
      </c>
    </row>
    <row r="14" spans="1:5" x14ac:dyDescent="0.25">
      <c r="A14" s="1">
        <v>525</v>
      </c>
      <c r="B14">
        <v>-2398286.8658000003</v>
      </c>
      <c r="C14">
        <v>-2401814.0781</v>
      </c>
      <c r="D14">
        <v>-2402931.2801999999</v>
      </c>
      <c r="E14">
        <v>-2403284.7505000001</v>
      </c>
    </row>
    <row r="15" spans="1:5" x14ac:dyDescent="0.25">
      <c r="A15" s="1">
        <v>550</v>
      </c>
      <c r="B15">
        <v>-2364351.9915</v>
      </c>
      <c r="C15">
        <v>-2373033.1763999998</v>
      </c>
      <c r="D15">
        <v>-2375789.3749000002</v>
      </c>
      <c r="E15">
        <v>-2376662.0590000004</v>
      </c>
    </row>
    <row r="16" spans="1:5" x14ac:dyDescent="0.25">
      <c r="A16" s="1">
        <v>575</v>
      </c>
      <c r="B16">
        <v>-2321632.6052000001</v>
      </c>
      <c r="C16">
        <v>-2341299.2580999997</v>
      </c>
      <c r="D16">
        <v>-2347575.4342999998</v>
      </c>
      <c r="E16">
        <v>-2349565.85</v>
      </c>
    </row>
    <row r="17" spans="1:5" x14ac:dyDescent="0.25">
      <c r="A17" s="1">
        <v>600</v>
      </c>
      <c r="B17">
        <v>-2262950.0189999999</v>
      </c>
      <c r="C17">
        <v>-2304210.6907000002</v>
      </c>
      <c r="D17">
        <v>-2317516.3453000002</v>
      </c>
      <c r="E17">
        <v>-2321749.8641000004</v>
      </c>
    </row>
    <row r="18" spans="1:5" x14ac:dyDescent="0.25">
      <c r="A18" s="1">
        <v>625</v>
      </c>
      <c r="B18">
        <v>-2177595.8662</v>
      </c>
      <c r="C18">
        <v>-2257919.1163999997</v>
      </c>
      <c r="D18">
        <v>-2284348.1546</v>
      </c>
      <c r="E18">
        <v>-2292809.5982999997</v>
      </c>
    </row>
    <row r="19" spans="1:5" x14ac:dyDescent="0.25">
      <c r="A19" s="1">
        <v>650</v>
      </c>
      <c r="B19">
        <v>-2052157.9778999998</v>
      </c>
      <c r="C19">
        <v>-2196749.3817999996</v>
      </c>
      <c r="D19">
        <v>-2246127.9165000003</v>
      </c>
      <c r="E19">
        <v>-2262115.9458000003</v>
      </c>
    </row>
    <row r="20" spans="1:5" x14ac:dyDescent="0.25">
      <c r="A20" s="1">
        <v>675</v>
      </c>
      <c r="B20">
        <v>-1875104.9887999999</v>
      </c>
      <c r="C20">
        <v>-2113165.4173000003</v>
      </c>
      <c r="D20">
        <v>-2200049.6488000001</v>
      </c>
      <c r="E20">
        <v>-2228739.1382999998</v>
      </c>
    </row>
    <row r="21" spans="1:5" x14ac:dyDescent="0.25">
      <c r="A21" s="1">
        <v>700</v>
      </c>
      <c r="B21">
        <v>-1647579.9646999999</v>
      </c>
      <c r="C21">
        <v>-1998651.7252</v>
      </c>
      <c r="D21">
        <v>-2142331.4218000001</v>
      </c>
      <c r="E21">
        <v>-2191370.9813999999</v>
      </c>
    </row>
    <row r="22" spans="1:5" x14ac:dyDescent="0.25">
      <c r="A22" s="1">
        <v>725</v>
      </c>
      <c r="B22">
        <v>-1396695.5960000001</v>
      </c>
      <c r="C22">
        <v>-1846379.7156</v>
      </c>
      <c r="D22">
        <v>-2068296.4700000002</v>
      </c>
      <c r="E22">
        <v>-2148260.2744999998</v>
      </c>
    </row>
    <row r="23" spans="1:5" x14ac:dyDescent="0.25">
      <c r="A23" s="1">
        <v>750</v>
      </c>
      <c r="B23">
        <v>-1171542.4069999999</v>
      </c>
      <c r="C23">
        <v>-1656346.9053</v>
      </c>
      <c r="D23">
        <v>-1972845.0188</v>
      </c>
      <c r="E23">
        <v>-2097186.1709999996</v>
      </c>
    </row>
    <row r="24" spans="1:5" x14ac:dyDescent="0.25">
      <c r="A24" s="1">
        <v>775</v>
      </c>
      <c r="B24">
        <v>-1007991.3569</v>
      </c>
      <c r="C24">
        <v>-1441636.8381000001</v>
      </c>
      <c r="D24">
        <v>-1851575.7315999998</v>
      </c>
      <c r="E24">
        <v>-2035507.2585</v>
      </c>
    </row>
    <row r="25" spans="1:5" x14ac:dyDescent="0.25">
      <c r="A25" s="1">
        <v>800</v>
      </c>
      <c r="B25">
        <v>-904015.98321999994</v>
      </c>
      <c r="C25">
        <v>-1229546.3674000001</v>
      </c>
      <c r="D25">
        <v>-1702762.2859</v>
      </c>
      <c r="E25">
        <v>-1960338.9240999999</v>
      </c>
    </row>
    <row r="26" spans="1:5" x14ac:dyDescent="0.25">
      <c r="A26" s="1">
        <v>825</v>
      </c>
      <c r="B26">
        <v>-838029.39110000001</v>
      </c>
      <c r="C26">
        <v>-1049797.9944000002</v>
      </c>
      <c r="D26">
        <v>-1529979.7263999998</v>
      </c>
      <c r="E26">
        <v>-1868922.7463</v>
      </c>
    </row>
    <row r="27" spans="1:5" x14ac:dyDescent="0.25">
      <c r="A27" s="1">
        <v>850</v>
      </c>
      <c r="B27">
        <v>-791628.43036</v>
      </c>
      <c r="C27">
        <v>-916540.83161000011</v>
      </c>
      <c r="D27">
        <v>-1344122.0304</v>
      </c>
      <c r="E27">
        <v>-1759245.3018</v>
      </c>
    </row>
    <row r="28" spans="1:5" x14ac:dyDescent="0.25">
      <c r="A28" s="1">
        <v>875</v>
      </c>
      <c r="B28">
        <v>-754469.76538</v>
      </c>
      <c r="C28">
        <v>-824483.35791000002</v>
      </c>
      <c r="D28">
        <v>-1162281.6898000001</v>
      </c>
      <c r="E28">
        <v>-1630911.0642000001</v>
      </c>
    </row>
    <row r="29" spans="1:5" x14ac:dyDescent="0.25">
      <c r="A29" s="1">
        <v>900</v>
      </c>
      <c r="B29">
        <v>-721559.17865000002</v>
      </c>
      <c r="C29">
        <v>-760222.30907999992</v>
      </c>
      <c r="D29">
        <v>-1001795.0167</v>
      </c>
      <c r="E29">
        <v>-1486131.3936999999</v>
      </c>
    </row>
    <row r="30" spans="1:5" x14ac:dyDescent="0.25">
      <c r="A30" s="1">
        <v>925</v>
      </c>
      <c r="B30">
        <v>-690590.38279000006</v>
      </c>
      <c r="C30">
        <v>-712091.69877999998</v>
      </c>
      <c r="D30">
        <v>-872609.92828999995</v>
      </c>
      <c r="E30">
        <v>-1330435.5506</v>
      </c>
    </row>
    <row r="31" spans="1:5" x14ac:dyDescent="0.25">
      <c r="A31" s="1">
        <v>950</v>
      </c>
      <c r="B31">
        <v>-660497.34424999997</v>
      </c>
      <c r="C31">
        <v>-672673.24193000002</v>
      </c>
      <c r="D31">
        <v>-774577.21919000009</v>
      </c>
      <c r="E31">
        <v>-1172449.2032999999</v>
      </c>
    </row>
    <row r="32" spans="1:5" x14ac:dyDescent="0.25">
      <c r="A32" s="1">
        <v>975</v>
      </c>
      <c r="B32">
        <v>-630777.7519899999</v>
      </c>
      <c r="C32">
        <v>-637832.09227999998</v>
      </c>
      <c r="D32">
        <v>-701160.10922999994</v>
      </c>
      <c r="E32">
        <v>-1022191.6355</v>
      </c>
    </row>
    <row r="33" spans="1:5" x14ac:dyDescent="0.25">
      <c r="A33" s="1">
        <v>1000</v>
      </c>
      <c r="B33">
        <v>-601188.75422999996</v>
      </c>
      <c r="C33">
        <v>-605376.24054999999</v>
      </c>
      <c r="D33">
        <v>-644583.39515</v>
      </c>
      <c r="E33">
        <v>-888215.83899999992</v>
      </c>
    </row>
    <row r="34" spans="1:5" x14ac:dyDescent="0.25">
      <c r="A34" s="1">
        <v>1025</v>
      </c>
      <c r="B34">
        <v>-571610.98234999995</v>
      </c>
      <c r="C34">
        <v>-574157.36929000006</v>
      </c>
      <c r="D34">
        <v>-598605.79314999992</v>
      </c>
      <c r="E34">
        <v>-775117.12716999999</v>
      </c>
    </row>
    <row r="35" spans="1:5" x14ac:dyDescent="0.25">
      <c r="A35" s="1">
        <v>1050</v>
      </c>
      <c r="B35">
        <v>-541985.61780000001</v>
      </c>
      <c r="C35">
        <v>-543570.47061000008</v>
      </c>
      <c r="D35">
        <v>-559018.66963999998</v>
      </c>
      <c r="E35">
        <v>-682979.27049999998</v>
      </c>
    </row>
    <row r="36" spans="1:5" x14ac:dyDescent="0.25">
      <c r="A36" s="1">
        <v>1075</v>
      </c>
      <c r="B36">
        <v>-512282.89182000002</v>
      </c>
      <c r="C36">
        <v>-513291.30528999999</v>
      </c>
      <c r="D36">
        <v>-523211.59872000001</v>
      </c>
      <c r="E36">
        <v>-608763.51674999995</v>
      </c>
    </row>
    <row r="37" spans="1:5" x14ac:dyDescent="0.25">
      <c r="A37" s="1">
        <v>1100</v>
      </c>
      <c r="B37">
        <v>-482488.30018000002</v>
      </c>
      <c r="C37">
        <v>-483143.42804000003</v>
      </c>
      <c r="D37">
        <v>-489625.08147999999</v>
      </c>
      <c r="E37">
        <v>-548285.23601999995</v>
      </c>
    </row>
    <row r="38" spans="1:5" x14ac:dyDescent="0.25">
      <c r="A38" s="1">
        <v>1125</v>
      </c>
      <c r="B38">
        <v>-452595.36291999999</v>
      </c>
      <c r="C38">
        <v>-453029.38021999999</v>
      </c>
      <c r="D38">
        <v>-457338.85940000002</v>
      </c>
      <c r="E38">
        <v>-497610.32245000004</v>
      </c>
    </row>
    <row r="39" spans="1:5" x14ac:dyDescent="0.25">
      <c r="A39" s="1">
        <v>1150</v>
      </c>
      <c r="B39">
        <v>-422601.90662999998</v>
      </c>
      <c r="C39">
        <v>-422894.76656999998</v>
      </c>
      <c r="D39">
        <v>-425809.34945000004</v>
      </c>
      <c r="E39">
        <v>-453631.60628999997</v>
      </c>
    </row>
    <row r="40" spans="1:5" x14ac:dyDescent="0.25">
      <c r="A40" s="1">
        <v>1175</v>
      </c>
      <c r="B40">
        <v>-392508.10515000002</v>
      </c>
      <c r="C40">
        <v>-392709.15044999996</v>
      </c>
      <c r="D40">
        <v>-394712.98438000004</v>
      </c>
      <c r="E40">
        <v>-414115.23446000001</v>
      </c>
    </row>
    <row r="41" spans="1:5" x14ac:dyDescent="0.25">
      <c r="A41" s="1">
        <v>1200</v>
      </c>
      <c r="B41">
        <v>-362315.42111</v>
      </c>
      <c r="C41">
        <v>-362455.68666999997</v>
      </c>
      <c r="D41">
        <v>-363855.11560999998</v>
      </c>
      <c r="E41">
        <v>-377535.64007999998</v>
      </c>
    </row>
    <row r="42" spans="1:5" x14ac:dyDescent="0.25">
      <c r="A42" s="1">
        <v>1225</v>
      </c>
      <c r="B42">
        <v>-332026.02065000002</v>
      </c>
      <c r="C42">
        <v>-332125.37945999997</v>
      </c>
      <c r="D42">
        <v>-333117.34655999998</v>
      </c>
      <c r="E42">
        <v>-342878.12877000001</v>
      </c>
    </row>
    <row r="43" spans="1:5" x14ac:dyDescent="0.25">
      <c r="A43" s="1">
        <v>1250</v>
      </c>
      <c r="B43">
        <v>-301642.44292</v>
      </c>
      <c r="C43">
        <v>-301713.83766000002</v>
      </c>
      <c r="D43">
        <v>-302426.94712999999</v>
      </c>
      <c r="E43">
        <v>-309475.47567999997</v>
      </c>
    </row>
    <row r="44" spans="1:5" x14ac:dyDescent="0.25">
      <c r="A44" s="1">
        <v>1275</v>
      </c>
      <c r="B44">
        <v>-271167.40966</v>
      </c>
      <c r="C44">
        <v>-271219.40521</v>
      </c>
      <c r="D44">
        <v>-271738.91558999999</v>
      </c>
      <c r="E44">
        <v>-276890.02503000002</v>
      </c>
    </row>
    <row r="45" spans="1:5" x14ac:dyDescent="0.25">
      <c r="A45" s="1">
        <v>1300</v>
      </c>
      <c r="B45">
        <v>-240603.71375</v>
      </c>
      <c r="C45">
        <v>-240642.06412</v>
      </c>
      <c r="D45">
        <v>-241025.32444999999</v>
      </c>
      <c r="E45">
        <v>-244833.91402</v>
      </c>
    </row>
    <row r="46" spans="1:5" x14ac:dyDescent="0.25">
      <c r="A46" s="1">
        <v>1325</v>
      </c>
      <c r="B46">
        <v>-209954.15315</v>
      </c>
      <c r="C46">
        <v>-209982.77942000001</v>
      </c>
      <c r="D46">
        <v>-210268.90432999999</v>
      </c>
      <c r="E46">
        <v>-213116.73965</v>
      </c>
    </row>
    <row r="47" spans="1:5" x14ac:dyDescent="0.25">
      <c r="A47" s="1">
        <v>1350</v>
      </c>
      <c r="B47">
        <v>-179221.49139000001</v>
      </c>
      <c r="C47">
        <v>-179243.10188999999</v>
      </c>
      <c r="D47">
        <v>-179459.12418000001</v>
      </c>
      <c r="E47">
        <v>-181611.68678000002</v>
      </c>
    </row>
    <row r="48" spans="1:5" x14ac:dyDescent="0.25">
      <c r="A48" s="1">
        <v>1375</v>
      </c>
      <c r="B48">
        <v>-148408.43395999999</v>
      </c>
      <c r="C48">
        <v>-148424.92351999998</v>
      </c>
      <c r="D48">
        <v>-148589.76239000002</v>
      </c>
      <c r="E48">
        <v>-150233.68210999999</v>
      </c>
    </row>
    <row r="49" spans="1:5" x14ac:dyDescent="0.25">
      <c r="A49" s="1">
        <v>1400</v>
      </c>
      <c r="B49">
        <v>-117517.61448999999</v>
      </c>
      <c r="C49">
        <v>-117530.32506</v>
      </c>
      <c r="D49">
        <v>-117657.38056000001</v>
      </c>
      <c r="E49">
        <v>-118925.27248</v>
      </c>
    </row>
    <row r="50" spans="1:5" x14ac:dyDescent="0.25">
      <c r="A50" s="1">
        <v>1425</v>
      </c>
      <c r="B50">
        <v>-86551.586717000013</v>
      </c>
      <c r="C50">
        <v>-86561.480029999992</v>
      </c>
      <c r="D50">
        <v>-86660.351670000004</v>
      </c>
      <c r="E50">
        <v>-87647.44413399999</v>
      </c>
    </row>
    <row r="51" spans="1:5" x14ac:dyDescent="0.25">
      <c r="A51" s="1">
        <v>1450</v>
      </c>
      <c r="B51">
        <v>-55512.820297999999</v>
      </c>
      <c r="C51">
        <v>-55520.593795000001</v>
      </c>
      <c r="D51">
        <v>-55598.233305999995</v>
      </c>
      <c r="E51">
        <v>-56373.608121999998</v>
      </c>
    </row>
    <row r="52" spans="1:5" x14ac:dyDescent="0.25">
      <c r="A52" s="1">
        <v>1475</v>
      </c>
      <c r="B52">
        <v>-24403.698859</v>
      </c>
      <c r="C52">
        <v>-24409.864658999999</v>
      </c>
      <c r="D52">
        <v>-24471.358637000001</v>
      </c>
      <c r="E52">
        <v>-25085.625048000002</v>
      </c>
    </row>
    <row r="53" spans="1:5" x14ac:dyDescent="0.25">
      <c r="A53" s="1">
        <v>1500</v>
      </c>
      <c r="B53">
        <v>6773.4805824000005</v>
      </c>
      <c r="C53">
        <v>6768.5409215</v>
      </c>
      <c r="D53">
        <v>6719.4334837999995</v>
      </c>
      <c r="E53">
        <v>6228.8470579000004</v>
      </c>
    </row>
    <row r="54" spans="1:5" x14ac:dyDescent="0.25">
      <c r="A54" s="1">
        <v>1525</v>
      </c>
      <c r="B54">
        <v>38016.50748</v>
      </c>
      <c r="C54">
        <v>38012.504104</v>
      </c>
      <c r="D54">
        <v>37972.978421</v>
      </c>
      <c r="E54">
        <v>37578.139159999999</v>
      </c>
    </row>
    <row r="55" spans="1:5" x14ac:dyDescent="0.25">
      <c r="A55" s="1">
        <v>1550</v>
      </c>
      <c r="B55">
        <v>69323.257377000002</v>
      </c>
      <c r="C55">
        <v>69319.963579000003</v>
      </c>
      <c r="D55">
        <v>69287.906754999989</v>
      </c>
      <c r="E55">
        <v>68967.786066000001</v>
      </c>
    </row>
    <row r="56" spans="1:5" x14ac:dyDescent="0.25">
      <c r="A56" s="1">
        <v>1575</v>
      </c>
      <c r="B56">
        <v>100691.69171999999</v>
      </c>
      <c r="C56">
        <v>100688.92175000001</v>
      </c>
      <c r="D56">
        <v>100662.72632</v>
      </c>
      <c r="E56">
        <v>100401.36035999999</v>
      </c>
    </row>
    <row r="57" spans="1:5" x14ac:dyDescent="0.25">
      <c r="A57" s="1">
        <v>1600</v>
      </c>
      <c r="B57">
        <v>132119.85829999999</v>
      </c>
      <c r="C57">
        <v>132117.44857000001</v>
      </c>
      <c r="D57">
        <v>132095.87823999999</v>
      </c>
      <c r="E57">
        <v>131881.05007</v>
      </c>
    </row>
    <row r="58" spans="1:5" x14ac:dyDescent="0.25">
      <c r="A58" s="1">
        <v>1625</v>
      </c>
      <c r="B58">
        <v>163605.89264999999</v>
      </c>
      <c r="C58">
        <v>163603.68399999998</v>
      </c>
      <c r="D58">
        <v>163585.77538000001</v>
      </c>
      <c r="E58">
        <v>163408.06237999999</v>
      </c>
    </row>
    <row r="59" spans="1:5" x14ac:dyDescent="0.25">
      <c r="A59" s="1">
        <v>1650</v>
      </c>
      <c r="B59">
        <v>195148.02119</v>
      </c>
      <c r="C59">
        <v>195145.83981</v>
      </c>
      <c r="D59">
        <v>195130.82899000001</v>
      </c>
      <c r="E59">
        <v>194982.90805</v>
      </c>
    </row>
    <row r="60" spans="1:5" x14ac:dyDescent="0.25">
      <c r="A60" s="1">
        <v>1675</v>
      </c>
      <c r="B60">
        <v>226744.56638999999</v>
      </c>
      <c r="C60">
        <v>226742.20134</v>
      </c>
      <c r="D60">
        <v>226729.46727999998</v>
      </c>
      <c r="E60">
        <v>226605.60352999999</v>
      </c>
    </row>
    <row r="61" spans="1:5" x14ac:dyDescent="0.25">
      <c r="A61" s="1">
        <v>1700</v>
      </c>
      <c r="B61">
        <v>258393.95515000002</v>
      </c>
      <c r="C61">
        <v>258391.12970000002</v>
      </c>
      <c r="D61">
        <v>258380.14849000002</v>
      </c>
      <c r="E61">
        <v>258275.81555</v>
      </c>
    </row>
    <row r="62" spans="1:5" x14ac:dyDescent="0.25">
      <c r="A62" s="1">
        <v>1725</v>
      </c>
      <c r="B62">
        <v>290094.73103999998</v>
      </c>
      <c r="C62">
        <v>290091.06480000005</v>
      </c>
      <c r="D62">
        <v>290081.37044000003</v>
      </c>
      <c r="E62">
        <v>289992.96545999998</v>
      </c>
    </row>
    <row r="63" spans="1:5" x14ac:dyDescent="0.25">
      <c r="A63" s="1">
        <v>1750</v>
      </c>
      <c r="B63">
        <v>321845.57191</v>
      </c>
      <c r="C63">
        <v>321840.52990999998</v>
      </c>
      <c r="D63">
        <v>321831.6777</v>
      </c>
      <c r="E63">
        <v>321756.30503000005</v>
      </c>
    </row>
    <row r="64" spans="1:5" x14ac:dyDescent="0.25">
      <c r="A64" s="1">
        <v>1775</v>
      </c>
      <c r="B64">
        <v>353645.31432</v>
      </c>
      <c r="C64">
        <v>353638.13819000003</v>
      </c>
      <c r="D64">
        <v>353629.66752000002</v>
      </c>
      <c r="E64">
        <v>353564.97191999998</v>
      </c>
    </row>
    <row r="65" spans="1:5" x14ac:dyDescent="0.25">
      <c r="A65" s="1">
        <v>1800</v>
      </c>
      <c r="B65">
        <v>385492.98664000002</v>
      </c>
      <c r="C65">
        <v>385482.60181000002</v>
      </c>
      <c r="D65">
        <v>385473.9951</v>
      </c>
      <c r="E65">
        <v>385418.03080000001</v>
      </c>
    </row>
    <row r="66" spans="1:5" x14ac:dyDescent="0.25">
      <c r="A66" s="1">
        <v>1825</v>
      </c>
      <c r="B66">
        <v>417387.85333999997</v>
      </c>
      <c r="C66">
        <v>417372.74456000002</v>
      </c>
      <c r="D66">
        <v>417363.37908000004</v>
      </c>
      <c r="E66">
        <v>417314.50399</v>
      </c>
    </row>
    <row r="67" spans="1:5" x14ac:dyDescent="0.25">
      <c r="A67" s="1">
        <v>1850</v>
      </c>
      <c r="B67">
        <v>449329.47321000003</v>
      </c>
      <c r="C67">
        <v>449307.51871000003</v>
      </c>
      <c r="D67">
        <v>449296.60756999999</v>
      </c>
      <c r="E67">
        <v>449253.39487000002</v>
      </c>
    </row>
    <row r="68" spans="1:5" x14ac:dyDescent="0.25">
      <c r="A68" s="1">
        <v>1875</v>
      </c>
      <c r="B68">
        <v>481317.77515</v>
      </c>
      <c r="C68">
        <v>481286.02726</v>
      </c>
      <c r="D68">
        <v>481272.54537000001</v>
      </c>
      <c r="E68">
        <v>481233.70600000001</v>
      </c>
    </row>
    <row r="69" spans="1:5" x14ac:dyDescent="0.25">
      <c r="A69" s="1">
        <v>1900</v>
      </c>
      <c r="B69">
        <v>513353.15576000005</v>
      </c>
      <c r="C69">
        <v>513307.55287999997</v>
      </c>
      <c r="D69">
        <v>513290.14296000003</v>
      </c>
      <c r="E69">
        <v>513254.45373000001</v>
      </c>
    </row>
    <row r="70" spans="1:5" x14ac:dyDescent="0.25">
      <c r="A70" s="1">
        <v>1925</v>
      </c>
      <c r="B70">
        <v>545436.60411999992</v>
      </c>
      <c r="C70">
        <v>545371.59490000003</v>
      </c>
      <c r="D70">
        <v>545348.44773999997</v>
      </c>
      <c r="E70">
        <v>545314.68045999995</v>
      </c>
    </row>
    <row r="71" spans="1:5" x14ac:dyDescent="0.25">
      <c r="A71" s="1">
        <v>1950</v>
      </c>
      <c r="B71">
        <v>577569.86031999998</v>
      </c>
      <c r="C71">
        <v>577477.91634999996</v>
      </c>
      <c r="D71">
        <v>577446.61810000008</v>
      </c>
      <c r="E71">
        <v>577413.46554999996</v>
      </c>
    </row>
    <row r="72" spans="1:5" x14ac:dyDescent="0.25">
      <c r="A72" s="1">
        <v>1975</v>
      </c>
      <c r="B72">
        <v>609755.61581999995</v>
      </c>
      <c r="C72">
        <v>609626.6028799999</v>
      </c>
      <c r="D72">
        <v>609583.94108000002</v>
      </c>
      <c r="E72">
        <v>609549.93559999997</v>
      </c>
    </row>
    <row r="73" spans="1:5" x14ac:dyDescent="0.25">
      <c r="A73" s="1">
        <v>2000</v>
      </c>
      <c r="B73">
        <v>641997.76601000002</v>
      </c>
      <c r="C73">
        <v>641818.13630000001</v>
      </c>
      <c r="D73">
        <v>641759.85436999996</v>
      </c>
      <c r="E73">
        <v>641723.27480000001</v>
      </c>
    </row>
    <row r="74" spans="1:5" x14ac:dyDescent="0.25">
      <c r="A74" s="1">
        <v>2025</v>
      </c>
      <c r="B74">
        <v>674301.72808999999</v>
      </c>
      <c r="C74">
        <v>674053.48552999995</v>
      </c>
      <c r="D74">
        <v>673973.97340999998</v>
      </c>
      <c r="E74">
        <v>673932.73589000001</v>
      </c>
    </row>
    <row r="75" spans="1:5" x14ac:dyDescent="0.25">
      <c r="A75" s="1">
        <v>2050</v>
      </c>
      <c r="B75">
        <v>706674.84138999996</v>
      </c>
      <c r="C75">
        <v>706334.21860999998</v>
      </c>
      <c r="D75">
        <v>706226.1246000001</v>
      </c>
      <c r="E75">
        <v>706177.65231999999</v>
      </c>
    </row>
    <row r="76" spans="1:5" x14ac:dyDescent="0.25">
      <c r="A76" s="1">
        <v>2075</v>
      </c>
      <c r="B76">
        <v>739126.87228000001</v>
      </c>
      <c r="C76">
        <v>738662.64005000005</v>
      </c>
      <c r="D76">
        <v>738516.38576000009</v>
      </c>
      <c r="E76">
        <v>738457.45198000001</v>
      </c>
    </row>
    <row r="77" spans="1:5" x14ac:dyDescent="0.25">
      <c r="A77" s="1">
        <v>2100</v>
      </c>
      <c r="B77">
        <v>771670.65358000004</v>
      </c>
      <c r="C77">
        <v>771041.95874999999</v>
      </c>
      <c r="D77">
        <v>770845.13506999996</v>
      </c>
      <c r="E77">
        <v>770771.67314999993</v>
      </c>
    </row>
    <row r="78" spans="1:5" x14ac:dyDescent="0.25">
      <c r="A78" s="1">
        <v>2125</v>
      </c>
      <c r="B78">
        <v>804322.89827999996</v>
      </c>
      <c r="C78">
        <v>803476.49314000004</v>
      </c>
      <c r="D78">
        <v>803213.10991999996</v>
      </c>
      <c r="E78">
        <v>803119.98301000008</v>
      </c>
    </row>
    <row r="79" spans="1:5" x14ac:dyDescent="0.25">
      <c r="A79" s="1">
        <v>2150</v>
      </c>
      <c r="B79">
        <v>837105.24154999992</v>
      </c>
      <c r="C79">
        <v>835971.92141999991</v>
      </c>
      <c r="D79">
        <v>835621.47746999993</v>
      </c>
      <c r="E79">
        <v>835502.19935000001</v>
      </c>
    </row>
    <row r="80" spans="1:5" x14ac:dyDescent="0.25">
      <c r="A80" s="1">
        <v>2175</v>
      </c>
      <c r="B80">
        <v>870045.58432000002</v>
      </c>
      <c r="C80">
        <v>868535.58764000004</v>
      </c>
      <c r="D80">
        <v>868071.91868</v>
      </c>
      <c r="E80">
        <v>867918.31605000002</v>
      </c>
    </row>
    <row r="81" spans="1:5" x14ac:dyDescent="0.25">
      <c r="A81" s="1">
        <v>2200</v>
      </c>
      <c r="B81">
        <v>903179.83850999991</v>
      </c>
      <c r="C81">
        <v>901176.87641000003</v>
      </c>
      <c r="D81">
        <v>900566.72852999996</v>
      </c>
      <c r="E81">
        <v>900368.53283000004</v>
      </c>
    </row>
    <row r="82" spans="1:5" x14ac:dyDescent="0.25">
      <c r="A82" s="1">
        <v>2225</v>
      </c>
      <c r="B82">
        <v>936554.20993999997</v>
      </c>
      <c r="C82">
        <v>933907.67376999999</v>
      </c>
      <c r="D82">
        <v>933108.93484</v>
      </c>
      <c r="E82">
        <v>932853.28997000004</v>
      </c>
    </row>
    <row r="83" spans="1:5" x14ac:dyDescent="0.25">
      <c r="A83" s="1">
        <v>2250</v>
      </c>
      <c r="B83">
        <v>970228.20417000004</v>
      </c>
      <c r="C83">
        <v>966742.93609999993</v>
      </c>
      <c r="D83">
        <v>965702.43940999999</v>
      </c>
      <c r="E83">
        <v>965373.30891000002</v>
      </c>
    </row>
    <row r="84" spans="1:5" x14ac:dyDescent="0.25">
      <c r="A84" s="1">
        <v>2275</v>
      </c>
      <c r="B84">
        <v>1004278.6063999999</v>
      </c>
      <c r="C84">
        <v>999701.39645999996</v>
      </c>
      <c r="D84">
        <v>998352.18540999992</v>
      </c>
      <c r="E84">
        <v>997929.63919999998</v>
      </c>
    </row>
    <row r="85" spans="1:5" x14ac:dyDescent="0.25">
      <c r="A85" s="1">
        <v>2300</v>
      </c>
      <c r="B85">
        <v>1038804.7738</v>
      </c>
      <c r="C85">
        <v>1032806.4462</v>
      </c>
      <c r="D85">
        <v>1031064.3563999999</v>
      </c>
      <c r="E85">
        <v>1030523.7132</v>
      </c>
    </row>
    <row r="86" spans="1:5" x14ac:dyDescent="0.25">
      <c r="A86" s="1">
        <v>2325</v>
      </c>
      <c r="B86">
        <v>1073935.6956</v>
      </c>
      <c r="C86">
        <v>1066087.2420000001</v>
      </c>
      <c r="D86">
        <v>1063846.6129999999</v>
      </c>
      <c r="E86">
        <v>1063157.4091</v>
      </c>
    </row>
    <row r="87" spans="1:5" x14ac:dyDescent="0.25">
      <c r="A87" s="1">
        <v>2350</v>
      </c>
      <c r="B87">
        <v>1109839.4267000002</v>
      </c>
      <c r="C87">
        <v>1099580.1032</v>
      </c>
      <c r="D87">
        <v>1096708.3757</v>
      </c>
      <c r="E87">
        <v>1095833.1244000001</v>
      </c>
    </row>
    <row r="88" spans="1:5" x14ac:dyDescent="0.25">
      <c r="A88" s="1">
        <v>2375</v>
      </c>
      <c r="B88">
        <v>1146735.6990999999</v>
      </c>
      <c r="C88">
        <v>1133330.2859</v>
      </c>
      <c r="D88">
        <v>1129661.1632999999</v>
      </c>
      <c r="E88">
        <v>1128553.8595999999</v>
      </c>
    </row>
    <row r="89" spans="1:5" x14ac:dyDescent="0.25">
      <c r="A89" s="1">
        <v>2400</v>
      </c>
      <c r="B89">
        <v>1184912.7693999999</v>
      </c>
      <c r="C89">
        <v>1167394.2431999999</v>
      </c>
      <c r="D89">
        <v>1162719.0001999999</v>
      </c>
      <c r="E89">
        <v>1161323.3167000001</v>
      </c>
    </row>
    <row r="90" spans="1:5" x14ac:dyDescent="0.25">
      <c r="A90" s="1">
        <v>2425</v>
      </c>
      <c r="B90">
        <v>1224749.8852000001</v>
      </c>
      <c r="C90">
        <v>1201842.5177</v>
      </c>
      <c r="D90">
        <v>1195898.9079999998</v>
      </c>
      <c r="E90">
        <v>1194146.0109999999</v>
      </c>
    </row>
    <row r="91" spans="1:5" x14ac:dyDescent="0.25">
      <c r="A91" s="1">
        <v>2450</v>
      </c>
      <c r="B91">
        <v>1266747.1654000001</v>
      </c>
      <c r="C91">
        <v>1236763.4508</v>
      </c>
      <c r="D91">
        <v>1229221.5023000001</v>
      </c>
      <c r="E91">
        <v>1227027.4027999998</v>
      </c>
    </row>
    <row r="92" spans="1:5" x14ac:dyDescent="0.25">
      <c r="A92" s="1">
        <v>2475</v>
      </c>
      <c r="B92">
        <v>1311565.2052999998</v>
      </c>
      <c r="C92">
        <v>1272267.9479</v>
      </c>
      <c r="D92">
        <v>1262711.7201999999</v>
      </c>
      <c r="E92">
        <v>1259974.0478000001</v>
      </c>
    </row>
    <row r="93" spans="1:5" x14ac:dyDescent="0.25">
      <c r="A93" s="1">
        <v>2500</v>
      </c>
      <c r="B93">
        <v>1360077.358</v>
      </c>
      <c r="C93">
        <v>1308495.6040000001</v>
      </c>
      <c r="D93">
        <v>1296399.7099000001</v>
      </c>
      <c r="E93">
        <v>1292993.7742999999</v>
      </c>
    </row>
    <row r="94" spans="1:5" x14ac:dyDescent="0.25">
      <c r="A94" s="1">
        <v>2525</v>
      </c>
      <c r="B94">
        <v>1413438.4341</v>
      </c>
      <c r="C94">
        <v>1345622.5765</v>
      </c>
      <c r="D94">
        <v>1330321.9242</v>
      </c>
      <c r="E94">
        <v>1326095.888</v>
      </c>
    </row>
    <row r="95" spans="1:5" x14ac:dyDescent="0.25">
      <c r="A95" s="1">
        <v>2550</v>
      </c>
      <c r="B95">
        <v>1473174.5153999999</v>
      </c>
      <c r="C95">
        <v>1383871.692</v>
      </c>
      <c r="D95">
        <v>1364522.4680999999</v>
      </c>
      <c r="E95">
        <v>1359291.4127</v>
      </c>
    </row>
    <row r="96" spans="1:5" x14ac:dyDescent="0.25">
      <c r="A96" s="1">
        <v>2575</v>
      </c>
      <c r="B96">
        <v>1541299.7241999998</v>
      </c>
      <c r="C96">
        <v>1423525.3997</v>
      </c>
      <c r="D96">
        <v>1399054.7634000001</v>
      </c>
      <c r="E96">
        <v>1392593.3725000001</v>
      </c>
    </row>
    <row r="97" spans="1:5" x14ac:dyDescent="0.25">
      <c r="A97" s="1">
        <v>2600</v>
      </c>
      <c r="B97">
        <v>1620467.1263000001</v>
      </c>
      <c r="C97">
        <v>1464942.3306000002</v>
      </c>
      <c r="D97">
        <v>1433983.6095</v>
      </c>
      <c r="E97">
        <v>1426017.1240000001</v>
      </c>
    </row>
    <row r="98" spans="1:5" x14ac:dyDescent="0.25">
      <c r="A98" s="1">
        <v>2625</v>
      </c>
      <c r="B98">
        <v>1714162.4742999999</v>
      </c>
      <c r="C98">
        <v>1508578.4065</v>
      </c>
      <c r="D98">
        <v>1469387.7371999999</v>
      </c>
      <c r="E98">
        <v>1459580.7496</v>
      </c>
    </row>
    <row r="99" spans="1:5" x14ac:dyDescent="0.25">
      <c r="A99" s="1">
        <v>2650</v>
      </c>
      <c r="B99">
        <v>1826951.1693</v>
      </c>
      <c r="C99">
        <v>1555013.6563000001</v>
      </c>
      <c r="D99">
        <v>1505362.9756</v>
      </c>
      <c r="E99">
        <v>1493305.5234999999</v>
      </c>
    </row>
    <row r="100" spans="1:5" x14ac:dyDescent="0.25">
      <c r="A100" s="1">
        <v>2675</v>
      </c>
      <c r="B100">
        <v>1964790.5356999999</v>
      </c>
      <c r="C100">
        <v>1604986.1535</v>
      </c>
      <c r="D100">
        <v>1542026.1772999999</v>
      </c>
      <c r="E100">
        <v>1527216.4657999999</v>
      </c>
    </row>
    <row r="101" spans="1:5" x14ac:dyDescent="0.25">
      <c r="A101" s="1">
        <v>2700</v>
      </c>
      <c r="B101">
        <v>2135421.0549999997</v>
      </c>
      <c r="C101">
        <v>1659434.7878</v>
      </c>
      <c r="D101">
        <v>1579520.0808999999</v>
      </c>
      <c r="E101">
        <v>1561343.0041</v>
      </c>
    </row>
    <row r="102" spans="1:5" x14ac:dyDescent="0.25">
      <c r="A102" s="1">
        <v>2725</v>
      </c>
      <c r="B102">
        <v>2348851.2278</v>
      </c>
      <c r="C102">
        <v>1719552.9272</v>
      </c>
      <c r="D102">
        <v>1618019.327</v>
      </c>
      <c r="E102">
        <v>1595719.7631999999</v>
      </c>
    </row>
    <row r="103" spans="1:5" x14ac:dyDescent="0.25">
      <c r="A103" s="1">
        <v>2750</v>
      </c>
      <c r="B103">
        <v>2617950.5603</v>
      </c>
      <c r="C103">
        <v>1786855.4199000001</v>
      </c>
      <c r="D103">
        <v>1657737.8873000001</v>
      </c>
      <c r="E103">
        <v>1630387.5115999999</v>
      </c>
    </row>
    <row r="104" spans="1:5" x14ac:dyDescent="0.25">
      <c r="A104" s="1">
        <v>2775</v>
      </c>
      <c r="B104">
        <v>2959162.7371999999</v>
      </c>
      <c r="C104">
        <v>1863261.8133999999</v>
      </c>
      <c r="D104">
        <v>1698938.2195000001</v>
      </c>
      <c r="E104">
        <v>1665394.2953000001</v>
      </c>
    </row>
    <row r="105" spans="1:5" x14ac:dyDescent="0.25">
      <c r="A105" s="1">
        <v>2800</v>
      </c>
      <c r="B105">
        <v>3393344.5824000002</v>
      </c>
      <c r="C105">
        <v>1951199.1348999999</v>
      </c>
      <c r="D105">
        <v>1741942.52</v>
      </c>
      <c r="E105">
        <v>1700796.7982000001</v>
      </c>
    </row>
    <row r="106" spans="1:5" x14ac:dyDescent="0.25">
      <c r="A106" s="1">
        <v>2825</v>
      </c>
      <c r="B106">
        <v>3946723.1738999998</v>
      </c>
      <c r="C106">
        <v>2053728.0439000002</v>
      </c>
      <c r="D106">
        <v>1787146.5171000001</v>
      </c>
      <c r="E106">
        <v>1736661.9745999998</v>
      </c>
    </row>
    <row r="107" spans="1:5" x14ac:dyDescent="0.25">
      <c r="A107" s="1">
        <v>2850</v>
      </c>
      <c r="B107">
        <v>4651939.2868000008</v>
      </c>
      <c r="C107">
        <v>2174696.6022000001</v>
      </c>
      <c r="D107">
        <v>1835036.324</v>
      </c>
      <c r="E107">
        <v>1773069.0074</v>
      </c>
    </row>
    <row r="108" spans="1:5" x14ac:dyDescent="0.25">
      <c r="A108" s="1">
        <v>2875</v>
      </c>
      <c r="B108">
        <v>5549103.9944000002</v>
      </c>
      <c r="C108">
        <v>2318926.2389000002</v>
      </c>
      <c r="D108">
        <v>1886208.9631999999</v>
      </c>
      <c r="E108">
        <v>1810111.656</v>
      </c>
    </row>
    <row r="109" spans="1:5" x14ac:dyDescent="0.25">
      <c r="A109" s="1">
        <v>2900</v>
      </c>
      <c r="B109">
        <v>6686727.8659000006</v>
      </c>
      <c r="C109">
        <v>2492434.5959999999</v>
      </c>
      <c r="D109">
        <v>1941397.2699000002</v>
      </c>
      <c r="E109">
        <v>1847901.0693000001</v>
      </c>
    </row>
    <row r="110" spans="1:5" x14ac:dyDescent="0.25">
      <c r="A110" s="1">
        <v>2925</v>
      </c>
      <c r="B110">
        <v>8122276.0777000003</v>
      </c>
      <c r="C110">
        <v>2702699.6592000001</v>
      </c>
      <c r="D110">
        <v>2001499.9952</v>
      </c>
      <c r="E110">
        <v>1886569.1501</v>
      </c>
    </row>
    <row r="111" spans="1:5" x14ac:dyDescent="0.25">
      <c r="A111" s="1">
        <v>2950</v>
      </c>
      <c r="B111">
        <v>9921938.6459999997</v>
      </c>
      <c r="C111">
        <v>2958968.6189000001</v>
      </c>
      <c r="D111">
        <v>2067618.0424999997</v>
      </c>
      <c r="E111">
        <v>1926272.5743</v>
      </c>
    </row>
    <row r="112" spans="1:5" x14ac:dyDescent="0.25">
      <c r="A112" s="1">
        <v>2975</v>
      </c>
      <c r="B112">
        <v>12158946.429</v>
      </c>
      <c r="C112">
        <v>3272612.8796999999</v>
      </c>
      <c r="D112">
        <v>2141097.8964999998</v>
      </c>
      <c r="E112">
        <v>1967197.5824000002</v>
      </c>
    </row>
    <row r="113" spans="1:5" x14ac:dyDescent="0.25">
      <c r="A113" s="1">
        <v>3000</v>
      </c>
      <c r="B113">
        <v>14909309.124</v>
      </c>
      <c r="C113">
        <v>3657526.9321999997</v>
      </c>
      <c r="D113">
        <v>2223583.4221000001</v>
      </c>
      <c r="E113">
        <v>2009565.6813000001</v>
      </c>
    </row>
    <row r="114" spans="1:5" x14ac:dyDescent="0.25">
      <c r="A114" s="1">
        <v>3025</v>
      </c>
      <c r="B114">
        <v>18242794.184999999</v>
      </c>
      <c r="C114">
        <v>4130562.5811999999</v>
      </c>
      <c r="D114">
        <v>2317077.3239000002</v>
      </c>
      <c r="E114">
        <v>2053640.4114000001</v>
      </c>
    </row>
    <row r="115" spans="1:5" x14ac:dyDescent="0.25">
      <c r="A115" s="1">
        <v>3050</v>
      </c>
      <c r="B115">
        <v>22203044.314999998</v>
      </c>
      <c r="C115">
        <v>4711980.1239999998</v>
      </c>
      <c r="D115">
        <v>2424013.6432999996</v>
      </c>
      <c r="E115">
        <v>2099735.3618000001</v>
      </c>
    </row>
    <row r="116" spans="1:5" x14ac:dyDescent="0.25">
      <c r="A116" s="1">
        <v>3075</v>
      </c>
      <c r="B116">
        <v>26742214.404999997</v>
      </c>
      <c r="C116">
        <v>5425882.9210000001</v>
      </c>
      <c r="D116">
        <v>2547342.7138999999</v>
      </c>
      <c r="E116">
        <v>2148223.6365</v>
      </c>
    </row>
    <row r="117" spans="1:5" x14ac:dyDescent="0.25">
      <c r="A117" s="1">
        <v>3100</v>
      </c>
      <c r="B117">
        <v>26742214.404999997</v>
      </c>
      <c r="C117">
        <v>6300579.3952000001</v>
      </c>
      <c r="D117">
        <v>2690629.9600000004</v>
      </c>
      <c r="E117">
        <v>2199549.0031999997</v>
      </c>
    </row>
    <row r="118" spans="1:5" x14ac:dyDescent="0.25">
      <c r="A118" s="1">
        <v>3125</v>
      </c>
      <c r="B118">
        <v>26742214.404999997</v>
      </c>
      <c r="C118">
        <v>7368784.3302999996</v>
      </c>
      <c r="D118">
        <v>2858169.7712999997</v>
      </c>
      <c r="E118">
        <v>2254238.9861000003</v>
      </c>
    </row>
    <row r="119" spans="1:5" x14ac:dyDescent="0.25">
      <c r="A119" s="1">
        <v>3150</v>
      </c>
      <c r="B119">
        <v>26742214.404999997</v>
      </c>
      <c r="C119">
        <v>8667526.2399000004</v>
      </c>
      <c r="D119">
        <v>3055115.3424</v>
      </c>
      <c r="E119">
        <v>2312920.1922000004</v>
      </c>
    </row>
    <row r="120" spans="1:5" x14ac:dyDescent="0.25">
      <c r="A120" s="1">
        <v>3175</v>
      </c>
      <c r="B120">
        <v>26742214.404999997</v>
      </c>
      <c r="C120">
        <v>10237565.044000002</v>
      </c>
      <c r="D120">
        <v>3287624.7486</v>
      </c>
      <c r="E120">
        <v>2376336.1924000001</v>
      </c>
    </row>
    <row r="121" spans="1:5" x14ac:dyDescent="0.25">
      <c r="A121" s="1">
        <v>3200</v>
      </c>
      <c r="B121">
        <v>26742214.404999997</v>
      </c>
      <c r="C121">
        <v>12122035.17</v>
      </c>
      <c r="D121">
        <v>3563022.5142999999</v>
      </c>
      <c r="E121">
        <v>2445368.3064000001</v>
      </c>
    </row>
    <row r="122" spans="1:5" x14ac:dyDescent="0.25">
      <c r="A122" s="1">
        <v>3225</v>
      </c>
      <c r="B122">
        <v>26742214.404999997</v>
      </c>
      <c r="C122">
        <v>14363886.845999999</v>
      </c>
      <c r="D122">
        <v>3889974.3398000002</v>
      </c>
      <c r="E122">
        <v>2521059.6709000003</v>
      </c>
    </row>
    <row r="123" spans="1:5" x14ac:dyDescent="0.25">
      <c r="A123" s="1">
        <v>3250</v>
      </c>
      <c r="B123">
        <v>26742214.404999997</v>
      </c>
      <c r="C123">
        <v>17001405.506999999</v>
      </c>
      <c r="D123">
        <v>4278670.2895</v>
      </c>
      <c r="E123">
        <v>2604642.9877999998</v>
      </c>
    </row>
    <row r="124" spans="1:5" x14ac:dyDescent="0.25">
      <c r="A124" s="1">
        <v>3275</v>
      </c>
      <c r="B124">
        <v>26742214.404999997</v>
      </c>
      <c r="C124">
        <v>20060227.645</v>
      </c>
      <c r="D124">
        <v>4741008.3103</v>
      </c>
      <c r="E124">
        <v>2697572.3658000003</v>
      </c>
    </row>
    <row r="125" spans="1:5" x14ac:dyDescent="0.25">
      <c r="A125" s="1">
        <v>3300</v>
      </c>
      <c r="B125">
        <v>26742214.404999997</v>
      </c>
      <c r="C125">
        <v>23536530.748</v>
      </c>
      <c r="D125">
        <v>5290765.1182000004</v>
      </c>
      <c r="E125">
        <v>2801559.6627000002</v>
      </c>
    </row>
    <row r="126" spans="1:5" x14ac:dyDescent="0.25">
      <c r="A126" s="1">
        <v>3325</v>
      </c>
      <c r="B126">
        <v>26742214.404999997</v>
      </c>
      <c r="C126">
        <v>27337049.583000001</v>
      </c>
      <c r="D126">
        <v>5943734.8781000003</v>
      </c>
      <c r="E126">
        <v>2918615.7130999998</v>
      </c>
    </row>
    <row r="127" spans="1:5" x14ac:dyDescent="0.25">
      <c r="A127" s="1">
        <v>3350</v>
      </c>
      <c r="B127">
        <v>26742214.404999997</v>
      </c>
      <c r="C127">
        <v>27337049.583000001</v>
      </c>
      <c r="D127">
        <v>6717807.2576000001</v>
      </c>
      <c r="E127">
        <v>3051096.7694000001</v>
      </c>
    </row>
    <row r="128" spans="1:5" x14ac:dyDescent="0.25">
      <c r="A128" s="1">
        <v>3375</v>
      </c>
      <c r="B128">
        <v>26742214.404999997</v>
      </c>
      <c r="C128">
        <v>27337049.583000001</v>
      </c>
      <c r="D128">
        <v>7632944.9670000002</v>
      </c>
      <c r="E128">
        <v>3201756.3792000003</v>
      </c>
    </row>
    <row r="129" spans="1:5" x14ac:dyDescent="0.25">
      <c r="A129" s="1">
        <v>3400</v>
      </c>
      <c r="B129">
        <v>26742214.404999997</v>
      </c>
      <c r="C129">
        <v>27337049.583000001</v>
      </c>
      <c r="D129">
        <v>8711006.3621000014</v>
      </c>
      <c r="E129">
        <v>3373802.7553000003</v>
      </c>
    </row>
    <row r="130" spans="1:5" x14ac:dyDescent="0.25">
      <c r="A130" s="1">
        <v>3425</v>
      </c>
      <c r="B130">
        <v>26742214.404999997</v>
      </c>
      <c r="C130">
        <v>27337049.583000001</v>
      </c>
      <c r="D130">
        <v>9975340.6307999995</v>
      </c>
      <c r="E130">
        <v>3570961.4389</v>
      </c>
    </row>
    <row r="131" spans="1:5" x14ac:dyDescent="0.25">
      <c r="A131" s="1">
        <v>3450</v>
      </c>
      <c r="B131">
        <v>26742214.404999997</v>
      </c>
      <c r="C131">
        <v>27337049.583000001</v>
      </c>
      <c r="D131">
        <v>11450060.455</v>
      </c>
      <c r="E131">
        <v>3797542.6825999999</v>
      </c>
    </row>
    <row r="132" spans="1:5" x14ac:dyDescent="0.25">
      <c r="A132" s="1">
        <v>3475</v>
      </c>
      <c r="B132">
        <v>26742214.404999997</v>
      </c>
      <c r="C132">
        <v>27337049.583000001</v>
      </c>
      <c r="D132">
        <v>13158866.436000001</v>
      </c>
      <c r="E132">
        <v>4058512.4463000004</v>
      </c>
    </row>
    <row r="133" spans="1:5" x14ac:dyDescent="0.25">
      <c r="A133" s="1">
        <v>3500</v>
      </c>
      <c r="B133">
        <v>26742214.404999997</v>
      </c>
      <c r="C133">
        <v>27337049.583000001</v>
      </c>
      <c r="D133">
        <v>15123247.142000001</v>
      </c>
      <c r="E133">
        <v>4359565.1690000007</v>
      </c>
    </row>
    <row r="134" spans="1:5" x14ac:dyDescent="0.25">
      <c r="A134" s="1">
        <v>3525</v>
      </c>
      <c r="B134">
        <v>26742214.404999997</v>
      </c>
      <c r="C134">
        <v>27337049.583000001</v>
      </c>
      <c r="D134">
        <v>17359767.083000001</v>
      </c>
      <c r="E134">
        <v>4707195.4824000001</v>
      </c>
    </row>
    <row r="135" spans="1:5" x14ac:dyDescent="0.25">
      <c r="A135" s="1">
        <v>3550</v>
      </c>
      <c r="B135">
        <v>26742214.404999997</v>
      </c>
      <c r="C135">
        <v>27337049.583000001</v>
      </c>
      <c r="D135">
        <v>19875828.627</v>
      </c>
      <c r="E135">
        <v>5108764.7215</v>
      </c>
    </row>
    <row r="136" spans="1:5" x14ac:dyDescent="0.25">
      <c r="A136" s="1">
        <v>3575</v>
      </c>
      <c r="B136">
        <v>26742214.404999997</v>
      </c>
      <c r="C136">
        <v>27337049.583000001</v>
      </c>
      <c r="D136">
        <v>22662079.108999997</v>
      </c>
      <c r="E136">
        <v>5572556.3859999999</v>
      </c>
    </row>
    <row r="137" spans="1:5" x14ac:dyDescent="0.25">
      <c r="A137" s="1">
        <v>3600</v>
      </c>
      <c r="B137">
        <v>26742214.404999997</v>
      </c>
      <c r="C137">
        <v>27337049.583000001</v>
      </c>
      <c r="D137">
        <v>25673390.515000001</v>
      </c>
      <c r="E137">
        <v>6107812.5548999999</v>
      </c>
    </row>
    <row r="138" spans="1:5" x14ac:dyDescent="0.25">
      <c r="A138" s="1">
        <v>3625</v>
      </c>
      <c r="B138">
        <v>26742214.404999997</v>
      </c>
      <c r="C138">
        <v>27337049.583000001</v>
      </c>
      <c r="D138">
        <v>28720379.579</v>
      </c>
      <c r="E138">
        <v>6724740.6094999993</v>
      </c>
    </row>
    <row r="139" spans="1:5" x14ac:dyDescent="0.25">
      <c r="A139" s="1">
        <v>3650</v>
      </c>
      <c r="B139">
        <v>26742214.404999997</v>
      </c>
      <c r="C139">
        <v>27337049.583000001</v>
      </c>
      <c r="D139">
        <v>28720379.579</v>
      </c>
      <c r="E139">
        <v>7434476.4473999999</v>
      </c>
    </row>
    <row r="140" spans="1:5" x14ac:dyDescent="0.25">
      <c r="A140" s="1">
        <v>3675</v>
      </c>
      <c r="B140">
        <v>26742214.404999997</v>
      </c>
      <c r="C140">
        <v>27337049.583000001</v>
      </c>
      <c r="D140">
        <v>28720379.579</v>
      </c>
      <c r="E140">
        <v>8248986.7073000008</v>
      </c>
    </row>
    <row r="141" spans="1:5" x14ac:dyDescent="0.25">
      <c r="A141" s="1">
        <v>3700</v>
      </c>
      <c r="B141">
        <v>26742214.404999997</v>
      </c>
      <c r="C141">
        <v>27337049.583000001</v>
      </c>
      <c r="D141">
        <v>28720379.579</v>
      </c>
      <c r="E141">
        <v>9180888.4434999991</v>
      </c>
    </row>
    <row r="142" spans="1:5" x14ac:dyDescent="0.25">
      <c r="A142" s="1">
        <v>3725</v>
      </c>
      <c r="B142">
        <v>26742214.404999997</v>
      </c>
      <c r="C142">
        <v>27337049.583000001</v>
      </c>
      <c r="D142">
        <v>28720379.579</v>
      </c>
      <c r="E142">
        <v>10243160.308</v>
      </c>
    </row>
    <row r="143" spans="1:5" x14ac:dyDescent="0.25">
      <c r="A143" s="1">
        <v>3750</v>
      </c>
      <c r="B143">
        <v>26742214.404999997</v>
      </c>
      <c r="C143">
        <v>27337049.583000001</v>
      </c>
      <c r="D143">
        <v>28720379.579</v>
      </c>
      <c r="E143">
        <v>11448714.663000001</v>
      </c>
    </row>
    <row r="144" spans="1:5" x14ac:dyDescent="0.25">
      <c r="A144" s="1">
        <v>3775</v>
      </c>
      <c r="B144">
        <v>26742214.404999997</v>
      </c>
      <c r="C144">
        <v>27337049.583000001</v>
      </c>
      <c r="D144">
        <v>28720379.579</v>
      </c>
      <c r="E144">
        <v>12809794.771000002</v>
      </c>
    </row>
    <row r="145" spans="1:5" x14ac:dyDescent="0.25">
      <c r="A145" s="1">
        <v>3800</v>
      </c>
      <c r="B145">
        <v>26742214.404999997</v>
      </c>
      <c r="C145">
        <v>27337049.583000001</v>
      </c>
      <c r="D145">
        <v>28720379.579</v>
      </c>
      <c r="E145">
        <v>14337153.627</v>
      </c>
    </row>
    <row r="146" spans="1:5" x14ac:dyDescent="0.25">
      <c r="A146" s="1">
        <v>3825</v>
      </c>
      <c r="B146">
        <v>26742214.404999997</v>
      </c>
      <c r="C146">
        <v>27337049.583000001</v>
      </c>
      <c r="D146">
        <v>28720379.579</v>
      </c>
      <c r="E146">
        <v>16038955.393000001</v>
      </c>
    </row>
    <row r="147" spans="1:5" x14ac:dyDescent="0.25">
      <c r="A147" s="1">
        <v>3850</v>
      </c>
      <c r="B147">
        <v>26742214.404999997</v>
      </c>
      <c r="C147">
        <v>27337049.583000001</v>
      </c>
      <c r="D147">
        <v>28720379.579</v>
      </c>
      <c r="E147">
        <v>17919299.829999998</v>
      </c>
    </row>
    <row r="148" spans="1:5" x14ac:dyDescent="0.25">
      <c r="A148" s="1">
        <v>3875</v>
      </c>
      <c r="B148">
        <v>26742214.404999997</v>
      </c>
      <c r="C148">
        <v>27337049.583000001</v>
      </c>
      <c r="D148">
        <v>28720379.579</v>
      </c>
      <c r="E148">
        <v>19976150.480999999</v>
      </c>
    </row>
    <row r="149" spans="1:5" x14ac:dyDescent="0.25">
      <c r="A149" s="1">
        <v>3900</v>
      </c>
      <c r="B149">
        <v>26742214.404999997</v>
      </c>
      <c r="C149">
        <v>27337049.583000001</v>
      </c>
      <c r="D149">
        <v>28720379.579</v>
      </c>
      <c r="E149">
        <v>22198056.347999997</v>
      </c>
    </row>
    <row r="150" spans="1:5" x14ac:dyDescent="0.25">
      <c r="A150" s="1">
        <v>3925</v>
      </c>
      <c r="B150">
        <v>26742214.404999997</v>
      </c>
      <c r="C150">
        <v>27337049.583000001</v>
      </c>
      <c r="D150">
        <v>28720379.579</v>
      </c>
      <c r="E150">
        <v>24557528.272999998</v>
      </c>
    </row>
    <row r="151" spans="1:5" x14ac:dyDescent="0.25">
      <c r="A151" s="1">
        <v>3950</v>
      </c>
      <c r="B151">
        <v>26742214.404999997</v>
      </c>
      <c r="C151">
        <v>27337049.583000001</v>
      </c>
      <c r="D151">
        <v>28720379.579</v>
      </c>
      <c r="E151">
        <v>26990399.352000002</v>
      </c>
    </row>
    <row r="152" spans="1:5" x14ac:dyDescent="0.25">
      <c r="A152" s="1">
        <v>3975</v>
      </c>
      <c r="B152">
        <v>26742214.404999997</v>
      </c>
      <c r="C152">
        <v>27337049.583000001</v>
      </c>
      <c r="D152">
        <v>28720379.579</v>
      </c>
      <c r="E152">
        <v>26990399.352000002</v>
      </c>
    </row>
    <row r="153" spans="1:5" x14ac:dyDescent="0.25">
      <c r="A153" s="1">
        <v>4000</v>
      </c>
      <c r="B153">
        <v>26742214.404999997</v>
      </c>
      <c r="C153">
        <v>27337049.583000001</v>
      </c>
      <c r="D153">
        <v>28720379.579</v>
      </c>
      <c r="E153">
        <v>26990399.352000002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9799-1B87-4E60-AA20-EDD8BB4CF8DD}">
  <dimension ref="A1:E153"/>
  <sheetViews>
    <sheetView zoomScale="85" zoomScaleNormal="85" workbookViewId="0">
      <selection activeCell="D35" sqref="D35"/>
    </sheetView>
  </sheetViews>
  <sheetFormatPr defaultRowHeight="15" x14ac:dyDescent="0.25"/>
  <cols>
    <col min="1" max="1" width="11.85546875" bestFit="1" customWidth="1"/>
    <col min="2" max="2" width="28.5703125" bestFit="1" customWidth="1"/>
    <col min="3" max="3" width="27.140625" bestFit="1" customWidth="1"/>
    <col min="4" max="4" width="25.7109375" bestFit="1" customWidth="1"/>
    <col min="5" max="5" width="23.7109375" bestFit="1" customWidth="1"/>
  </cols>
  <sheetData>
    <row r="1" spans="1:5" x14ac:dyDescent="0.25">
      <c r="B1" s="2" t="s">
        <v>13</v>
      </c>
      <c r="C1" s="2"/>
      <c r="D1" s="2"/>
      <c r="E1" s="2"/>
    </row>
    <row r="2" spans="1:5" x14ac:dyDescent="0.25">
      <c r="A2" s="2" t="s">
        <v>12</v>
      </c>
      <c r="B2" s="2">
        <v>1E-3</v>
      </c>
      <c r="C2" s="2">
        <v>0.01</v>
      </c>
      <c r="D2" s="2">
        <v>0.1</v>
      </c>
      <c r="E2" s="2">
        <v>1</v>
      </c>
    </row>
    <row r="3" spans="1:5" x14ac:dyDescent="0.25">
      <c r="A3" s="1">
        <v>250</v>
      </c>
      <c r="B3" s="1">
        <f>(B$2*101300)/(287*$A3)</f>
        <v>1.4118466898954704E-3</v>
      </c>
      <c r="C3" s="1">
        <f>(C$2*101300)/(287*$A3)</f>
        <v>1.4118466898954704E-2</v>
      </c>
      <c r="D3" s="1">
        <f t="shared" ref="D3:D18" si="0">(D$2*101300)/(287*$A3)</f>
        <v>0.14118466898954704</v>
      </c>
      <c r="E3" s="1">
        <f>(1*101300)/(287*$A3)</f>
        <v>1.4118466898954705</v>
      </c>
    </row>
    <row r="4" spans="1:5" x14ac:dyDescent="0.25">
      <c r="A4" s="1">
        <v>275</v>
      </c>
      <c r="B4" s="1">
        <f t="shared" ref="B4:D35" si="1">(B$2*101300)/(287*$A4)</f>
        <v>1.2834969908140639E-3</v>
      </c>
      <c r="C4" s="1">
        <f t="shared" si="1"/>
        <v>1.2834969908140641E-2</v>
      </c>
      <c r="D4" s="1">
        <f t="shared" si="0"/>
        <v>0.12834969908140639</v>
      </c>
      <c r="E4" s="1">
        <f>(1*101300)/(287*$A4)</f>
        <v>1.2834969908140639</v>
      </c>
    </row>
    <row r="5" spans="1:5" x14ac:dyDescent="0.25">
      <c r="A5" s="1">
        <v>300</v>
      </c>
      <c r="B5" s="1">
        <f t="shared" si="1"/>
        <v>1.1765389082462254E-3</v>
      </c>
      <c r="C5" s="1">
        <f t="shared" si="1"/>
        <v>1.1765389082462253E-2</v>
      </c>
      <c r="D5" s="1">
        <f t="shared" si="0"/>
        <v>0.11765389082462253</v>
      </c>
      <c r="E5" s="1">
        <f>(1*101300)/(287*$A5)</f>
        <v>1.1765389082462254</v>
      </c>
    </row>
    <row r="6" spans="1:5" x14ac:dyDescent="0.25">
      <c r="A6" s="1">
        <v>325</v>
      </c>
      <c r="B6" s="1">
        <f t="shared" si="1"/>
        <v>1.086035915304208E-3</v>
      </c>
      <c r="C6" s="1">
        <f t="shared" si="1"/>
        <v>1.0860359153042081E-2</v>
      </c>
      <c r="D6" s="1">
        <f t="shared" si="0"/>
        <v>0.1086035915304208</v>
      </c>
      <c r="E6" s="1">
        <f>(1*101300)/(287*$A6)</f>
        <v>1.0860359153042081</v>
      </c>
    </row>
    <row r="7" spans="1:5" x14ac:dyDescent="0.25">
      <c r="A7" s="1">
        <v>350</v>
      </c>
      <c r="B7" s="1">
        <f t="shared" si="1"/>
        <v>1.0084619213539074E-3</v>
      </c>
      <c r="C7" s="1">
        <f t="shared" si="1"/>
        <v>1.0084619213539075E-2</v>
      </c>
      <c r="D7" s="1">
        <f t="shared" si="0"/>
        <v>0.10084619213539074</v>
      </c>
      <c r="E7" s="1">
        <f>(1*101300)/(287*$A7)</f>
        <v>1.0084619213539074</v>
      </c>
    </row>
    <row r="8" spans="1:5" x14ac:dyDescent="0.25">
      <c r="A8" s="1">
        <v>375</v>
      </c>
      <c r="B8" s="1">
        <f t="shared" si="1"/>
        <v>9.4123112659698024E-4</v>
      </c>
      <c r="C8" s="1">
        <f t="shared" si="1"/>
        <v>9.4123112659698031E-3</v>
      </c>
      <c r="D8" s="1">
        <f t="shared" si="0"/>
        <v>9.4123112659698027E-2</v>
      </c>
      <c r="E8" s="1">
        <f>(1*101300)/(287*$A8)</f>
        <v>0.94123112659698027</v>
      </c>
    </row>
    <row r="9" spans="1:5" x14ac:dyDescent="0.25">
      <c r="A9" s="1">
        <v>400</v>
      </c>
      <c r="B9" s="1">
        <f t="shared" si="1"/>
        <v>8.8240418118466898E-4</v>
      </c>
      <c r="C9" s="1">
        <f t="shared" si="1"/>
        <v>8.8240418118466901E-3</v>
      </c>
      <c r="D9" s="1">
        <f t="shared" si="0"/>
        <v>8.8240418118466904E-2</v>
      </c>
      <c r="E9" s="1">
        <f>(1*101300)/(287*$A9)</f>
        <v>0.88240418118466901</v>
      </c>
    </row>
    <row r="10" spans="1:5" x14ac:dyDescent="0.25">
      <c r="A10" s="1">
        <v>425</v>
      </c>
      <c r="B10" s="1">
        <f t="shared" si="1"/>
        <v>8.3049805287968841E-4</v>
      </c>
      <c r="C10" s="1">
        <f t="shared" si="1"/>
        <v>8.3049805287968848E-3</v>
      </c>
      <c r="D10" s="1">
        <f t="shared" si="0"/>
        <v>8.3049805287968848E-2</v>
      </c>
      <c r="E10" s="1">
        <f>(1*101300)/(287*$A10)</f>
        <v>0.83049805287968848</v>
      </c>
    </row>
    <row r="11" spans="1:5" x14ac:dyDescent="0.25">
      <c r="A11" s="1">
        <v>450</v>
      </c>
      <c r="B11" s="1">
        <f t="shared" si="1"/>
        <v>7.8435927216415015E-4</v>
      </c>
      <c r="C11" s="1">
        <f t="shared" si="1"/>
        <v>7.8435927216415017E-3</v>
      </c>
      <c r="D11" s="1">
        <f t="shared" si="0"/>
        <v>7.8435927216415027E-2</v>
      </c>
      <c r="E11" s="1">
        <f>(1*101300)/(287*$A11)</f>
        <v>0.78435927216415025</v>
      </c>
    </row>
    <row r="12" spans="1:5" x14ac:dyDescent="0.25">
      <c r="A12" s="1">
        <v>475</v>
      </c>
      <c r="B12" s="1">
        <f t="shared" si="1"/>
        <v>7.4307720520814234E-4</v>
      </c>
      <c r="C12" s="1">
        <f t="shared" si="1"/>
        <v>7.4307720520814229E-3</v>
      </c>
      <c r="D12" s="1">
        <f t="shared" si="0"/>
        <v>7.4307720520814233E-2</v>
      </c>
      <c r="E12" s="1">
        <f>(1*101300)/(287*$A12)</f>
        <v>0.74307720520814236</v>
      </c>
    </row>
    <row r="13" spans="1:5" x14ac:dyDescent="0.25">
      <c r="A13" s="1">
        <v>500</v>
      </c>
      <c r="B13" s="1">
        <f t="shared" si="1"/>
        <v>7.0592334494773521E-4</v>
      </c>
      <c r="C13" s="1">
        <f t="shared" si="1"/>
        <v>7.0592334494773519E-3</v>
      </c>
      <c r="D13" s="1">
        <f t="shared" si="0"/>
        <v>7.059233449477352E-2</v>
      </c>
      <c r="E13" s="1">
        <f>(1*101300)/(287*$A13)</f>
        <v>0.70592334494773523</v>
      </c>
    </row>
    <row r="14" spans="1:5" x14ac:dyDescent="0.25">
      <c r="A14" s="1">
        <v>525</v>
      </c>
      <c r="B14" s="1">
        <f t="shared" si="1"/>
        <v>6.7230794756927155E-4</v>
      </c>
      <c r="C14" s="1">
        <f t="shared" si="1"/>
        <v>6.723079475692716E-3</v>
      </c>
      <c r="D14" s="1">
        <f t="shared" si="0"/>
        <v>6.7230794756927156E-2</v>
      </c>
      <c r="E14" s="1">
        <f>(1*101300)/(287*$A14)</f>
        <v>0.67230794756927159</v>
      </c>
    </row>
    <row r="15" spans="1:5" x14ac:dyDescent="0.25">
      <c r="A15" s="1">
        <v>550</v>
      </c>
      <c r="B15" s="1">
        <f t="shared" si="1"/>
        <v>6.4174849540703195E-4</v>
      </c>
      <c r="C15" s="1">
        <f t="shared" si="1"/>
        <v>6.4174849540703204E-3</v>
      </c>
      <c r="D15" s="1">
        <f t="shared" si="0"/>
        <v>6.4174849540703197E-2</v>
      </c>
      <c r="E15" s="1">
        <f>(1*101300)/(287*$A15)</f>
        <v>0.64174849540703194</v>
      </c>
    </row>
    <row r="16" spans="1:5" x14ac:dyDescent="0.25">
      <c r="A16" s="1">
        <v>575</v>
      </c>
      <c r="B16" s="1">
        <f t="shared" si="1"/>
        <v>6.1384638691107407E-4</v>
      </c>
      <c r="C16" s="1">
        <f t="shared" si="1"/>
        <v>6.1384638691107411E-3</v>
      </c>
      <c r="D16" s="1">
        <f t="shared" si="0"/>
        <v>6.1384638691107406E-2</v>
      </c>
      <c r="E16" s="1">
        <f>(1*101300)/(287*$A16)</f>
        <v>0.61384638691107407</v>
      </c>
    </row>
    <row r="17" spans="1:5" x14ac:dyDescent="0.25">
      <c r="A17" s="1">
        <v>600</v>
      </c>
      <c r="B17" s="1">
        <f t="shared" si="1"/>
        <v>5.8826945412311269E-4</v>
      </c>
      <c r="C17" s="1">
        <f t="shared" si="1"/>
        <v>5.8826945412311267E-3</v>
      </c>
      <c r="D17" s="1">
        <f t="shared" si="0"/>
        <v>5.8826945412311267E-2</v>
      </c>
      <c r="E17" s="1">
        <f>(1*101300)/(287*$A17)</f>
        <v>0.58826945412311271</v>
      </c>
    </row>
    <row r="18" spans="1:5" x14ac:dyDescent="0.25">
      <c r="A18" s="1">
        <v>625</v>
      </c>
      <c r="B18" s="1">
        <f t="shared" si="1"/>
        <v>5.6473867595818815E-4</v>
      </c>
      <c r="C18" s="1">
        <f t="shared" si="1"/>
        <v>5.6473867595818817E-3</v>
      </c>
      <c r="D18" s="1">
        <f t="shared" si="0"/>
        <v>5.6473867595818815E-2</v>
      </c>
      <c r="E18" s="1">
        <f>(1*101300)/(287*$A18)</f>
        <v>0.56473867595818816</v>
      </c>
    </row>
    <row r="19" spans="1:5" x14ac:dyDescent="0.25">
      <c r="A19" s="1">
        <v>650</v>
      </c>
      <c r="B19" s="1">
        <f t="shared" si="1"/>
        <v>5.4301795765210401E-4</v>
      </c>
      <c r="C19" s="1">
        <f t="shared" si="1"/>
        <v>5.4301795765210404E-3</v>
      </c>
      <c r="D19" s="1">
        <f t="shared" si="1"/>
        <v>5.4301795765210402E-2</v>
      </c>
      <c r="E19" s="1">
        <f>(1*101300)/(287*$A19)</f>
        <v>0.54301795765210403</v>
      </c>
    </row>
    <row r="20" spans="1:5" x14ac:dyDescent="0.25">
      <c r="A20" s="1">
        <v>675</v>
      </c>
      <c r="B20" s="1">
        <f t="shared" si="1"/>
        <v>5.229061814427668E-4</v>
      </c>
      <c r="C20" s="1">
        <f t="shared" si="1"/>
        <v>5.2290618144276678E-3</v>
      </c>
      <c r="D20" s="1">
        <f t="shared" si="1"/>
        <v>5.2290618144276678E-2</v>
      </c>
      <c r="E20" s="1">
        <f>(1*101300)/(287*$A20)</f>
        <v>0.52290618144276679</v>
      </c>
    </row>
    <row r="21" spans="1:5" x14ac:dyDescent="0.25">
      <c r="A21" s="1">
        <v>700</v>
      </c>
      <c r="B21" s="1">
        <f t="shared" si="1"/>
        <v>5.0423096067695372E-4</v>
      </c>
      <c r="C21" s="1">
        <f t="shared" si="1"/>
        <v>5.0423096067695374E-3</v>
      </c>
      <c r="D21" s="1">
        <f t="shared" si="1"/>
        <v>5.0423096067695371E-2</v>
      </c>
      <c r="E21" s="1">
        <f>(1*101300)/(287*$A21)</f>
        <v>0.50423096067695372</v>
      </c>
    </row>
    <row r="22" spans="1:5" x14ac:dyDescent="0.25">
      <c r="A22" s="1">
        <v>725</v>
      </c>
      <c r="B22" s="1">
        <f t="shared" si="1"/>
        <v>4.8684368617085184E-4</v>
      </c>
      <c r="C22" s="1">
        <f t="shared" si="1"/>
        <v>4.8684368617085182E-3</v>
      </c>
      <c r="D22" s="1">
        <f t="shared" si="1"/>
        <v>4.8684368617085187E-2</v>
      </c>
      <c r="E22" s="1">
        <f>(1*101300)/(287*$A22)</f>
        <v>0.48684368617085183</v>
      </c>
    </row>
    <row r="23" spans="1:5" x14ac:dyDescent="0.25">
      <c r="A23" s="1">
        <v>750</v>
      </c>
      <c r="B23" s="1">
        <f t="shared" si="1"/>
        <v>4.7061556329849012E-4</v>
      </c>
      <c r="C23" s="1">
        <f t="shared" si="1"/>
        <v>4.7061556329849015E-3</v>
      </c>
      <c r="D23" s="1">
        <f t="shared" si="1"/>
        <v>4.7061556329849014E-2</v>
      </c>
      <c r="E23" s="1">
        <f>(1*101300)/(287*$A23)</f>
        <v>0.47061556329849014</v>
      </c>
    </row>
    <row r="24" spans="1:5" x14ac:dyDescent="0.25">
      <c r="A24" s="1">
        <v>775</v>
      </c>
      <c r="B24" s="1">
        <f t="shared" si="1"/>
        <v>4.5543441609531299E-4</v>
      </c>
      <c r="C24" s="1">
        <f t="shared" si="1"/>
        <v>4.5543441609531303E-3</v>
      </c>
      <c r="D24" s="1">
        <f t="shared" si="1"/>
        <v>4.5543441609531304E-2</v>
      </c>
      <c r="E24" s="1">
        <f>(1*101300)/(287*$A24)</f>
        <v>0.45543441609531304</v>
      </c>
    </row>
    <row r="25" spans="1:5" x14ac:dyDescent="0.25">
      <c r="A25" s="1">
        <v>800</v>
      </c>
      <c r="B25" s="1">
        <f t="shared" si="1"/>
        <v>4.4120209059233449E-4</v>
      </c>
      <c r="C25" s="1">
        <f t="shared" si="1"/>
        <v>4.412020905923345E-3</v>
      </c>
      <c r="D25" s="1">
        <f t="shared" si="1"/>
        <v>4.4120209059233452E-2</v>
      </c>
      <c r="E25" s="1">
        <f>(1*101300)/(287*$A25)</f>
        <v>0.44120209059233451</v>
      </c>
    </row>
    <row r="26" spans="1:5" x14ac:dyDescent="0.25">
      <c r="A26" s="1">
        <v>825</v>
      </c>
      <c r="B26" s="1">
        <f t="shared" si="1"/>
        <v>4.2783233027135465E-4</v>
      </c>
      <c r="C26" s="1">
        <f t="shared" si="1"/>
        <v>4.2783233027135466E-3</v>
      </c>
      <c r="D26" s="1">
        <f t="shared" si="1"/>
        <v>4.2783233027135464E-2</v>
      </c>
      <c r="E26" s="1">
        <f>(1*101300)/(287*$A26)</f>
        <v>0.42783233027135464</v>
      </c>
    </row>
    <row r="27" spans="1:5" x14ac:dyDescent="0.25">
      <c r="A27" s="1">
        <v>850</v>
      </c>
      <c r="B27" s="1">
        <f t="shared" si="1"/>
        <v>4.1524902643984421E-4</v>
      </c>
      <c r="C27" s="1">
        <f t="shared" si="1"/>
        <v>4.1524902643984424E-3</v>
      </c>
      <c r="D27" s="1">
        <f t="shared" si="1"/>
        <v>4.1524902643984424E-2</v>
      </c>
      <c r="E27" s="1">
        <f>(1*101300)/(287*$A27)</f>
        <v>0.41524902643984424</v>
      </c>
    </row>
    <row r="28" spans="1:5" x14ac:dyDescent="0.25">
      <c r="A28" s="1">
        <v>875</v>
      </c>
      <c r="B28" s="1">
        <f t="shared" si="1"/>
        <v>4.0338476854156298E-4</v>
      </c>
      <c r="C28" s="1">
        <f t="shared" si="1"/>
        <v>4.0338476854156298E-3</v>
      </c>
      <c r="D28" s="1">
        <f t="shared" si="1"/>
        <v>4.0338476854156299E-2</v>
      </c>
      <c r="E28" s="1">
        <f>(1*101300)/(287*$A28)</f>
        <v>0.40338476854156297</v>
      </c>
    </row>
    <row r="29" spans="1:5" x14ac:dyDescent="0.25">
      <c r="A29" s="1">
        <v>900</v>
      </c>
      <c r="B29" s="1">
        <f t="shared" si="1"/>
        <v>3.9217963608207507E-4</v>
      </c>
      <c r="C29" s="1">
        <f t="shared" si="1"/>
        <v>3.9217963608207508E-3</v>
      </c>
      <c r="D29" s="1">
        <f t="shared" si="1"/>
        <v>3.9217963608207514E-2</v>
      </c>
      <c r="E29" s="1">
        <f>(1*101300)/(287*$A29)</f>
        <v>0.39217963608207512</v>
      </c>
    </row>
    <row r="30" spans="1:5" x14ac:dyDescent="0.25">
      <c r="A30" s="1">
        <v>925</v>
      </c>
      <c r="B30" s="1">
        <f t="shared" si="1"/>
        <v>3.8158018645823521E-4</v>
      </c>
      <c r="C30" s="1">
        <f t="shared" si="1"/>
        <v>3.8158018645823525E-3</v>
      </c>
      <c r="D30" s="1">
        <f t="shared" si="1"/>
        <v>3.8158018645823522E-2</v>
      </c>
      <c r="E30" s="1">
        <f>(1*101300)/(287*$A30)</f>
        <v>0.38158018645823522</v>
      </c>
    </row>
    <row r="31" spans="1:5" x14ac:dyDescent="0.25">
      <c r="A31" s="1">
        <v>950</v>
      </c>
      <c r="B31" s="1">
        <f t="shared" si="1"/>
        <v>3.7153860260407117E-4</v>
      </c>
      <c r="C31" s="1">
        <f t="shared" si="1"/>
        <v>3.7153860260407115E-3</v>
      </c>
      <c r="D31" s="1">
        <f t="shared" si="1"/>
        <v>3.7153860260407116E-2</v>
      </c>
      <c r="E31" s="1">
        <f>(1*101300)/(287*$A31)</f>
        <v>0.37153860260407118</v>
      </c>
    </row>
    <row r="32" spans="1:5" x14ac:dyDescent="0.25">
      <c r="A32" s="1">
        <v>975</v>
      </c>
      <c r="B32" s="1">
        <f t="shared" si="1"/>
        <v>3.6201197176806931E-4</v>
      </c>
      <c r="C32" s="1">
        <f t="shared" si="1"/>
        <v>3.6201197176806933E-3</v>
      </c>
      <c r="D32" s="1">
        <f t="shared" si="1"/>
        <v>3.6201197176806935E-2</v>
      </c>
      <c r="E32" s="1">
        <f>(1*101300)/(287*$A32)</f>
        <v>0.36201197176806932</v>
      </c>
    </row>
    <row r="33" spans="1:5" x14ac:dyDescent="0.25">
      <c r="A33" s="1">
        <v>1000</v>
      </c>
      <c r="B33" s="1">
        <f t="shared" si="1"/>
        <v>3.529616724738676E-4</v>
      </c>
      <c r="C33" s="1">
        <f t="shared" si="1"/>
        <v>3.5296167247386759E-3</v>
      </c>
      <c r="D33" s="1">
        <f t="shared" si="1"/>
        <v>3.529616724738676E-2</v>
      </c>
      <c r="E33" s="1">
        <f>(1*101300)/(287*$A33)</f>
        <v>0.35296167247386762</v>
      </c>
    </row>
    <row r="34" spans="1:5" x14ac:dyDescent="0.25">
      <c r="A34" s="1">
        <v>1025</v>
      </c>
      <c r="B34" s="1">
        <f t="shared" si="1"/>
        <v>3.4435285119401715E-4</v>
      </c>
      <c r="C34" s="1">
        <f t="shared" si="1"/>
        <v>3.4435285119401716E-3</v>
      </c>
      <c r="D34" s="1">
        <f t="shared" si="1"/>
        <v>3.4435285119401714E-2</v>
      </c>
      <c r="E34" s="1">
        <f>(1*101300)/(287*$A34)</f>
        <v>0.34435285119401715</v>
      </c>
    </row>
    <row r="35" spans="1:5" x14ac:dyDescent="0.25">
      <c r="A35" s="1">
        <v>1050</v>
      </c>
      <c r="B35" s="1">
        <f t="shared" si="1"/>
        <v>3.3615397378463578E-4</v>
      </c>
      <c r="C35" s="1">
        <f t="shared" si="1"/>
        <v>3.361539737846358E-3</v>
      </c>
      <c r="D35" s="1">
        <f t="shared" si="1"/>
        <v>3.3615397378463578E-2</v>
      </c>
      <c r="E35" s="1">
        <f>(1*101300)/(287*$A35)</f>
        <v>0.3361539737846358</v>
      </c>
    </row>
    <row r="36" spans="1:5" x14ac:dyDescent="0.25">
      <c r="A36" s="1">
        <v>1075</v>
      </c>
      <c r="B36" s="1">
        <f t="shared" ref="B36:D67" si="2">(B$2*101300)/(287*$A36)</f>
        <v>3.2833643951057451E-4</v>
      </c>
      <c r="C36" s="1">
        <f t="shared" si="2"/>
        <v>3.283364395105745E-3</v>
      </c>
      <c r="D36" s="1">
        <f t="shared" si="2"/>
        <v>3.2833643951057451E-2</v>
      </c>
      <c r="E36" s="1">
        <f>(1*101300)/(287*$A36)</f>
        <v>0.32833643951057451</v>
      </c>
    </row>
    <row r="37" spans="1:5" x14ac:dyDescent="0.25">
      <c r="A37" s="1">
        <v>1100</v>
      </c>
      <c r="B37" s="1">
        <f t="shared" si="2"/>
        <v>3.2087424770351597E-4</v>
      </c>
      <c r="C37" s="1">
        <f t="shared" si="2"/>
        <v>3.2087424770351602E-3</v>
      </c>
      <c r="D37" s="1">
        <f t="shared" si="2"/>
        <v>3.2087424770351598E-2</v>
      </c>
      <c r="E37" s="1">
        <f>(1*101300)/(287*$A37)</f>
        <v>0.32087424770351597</v>
      </c>
    </row>
    <row r="38" spans="1:5" x14ac:dyDescent="0.25">
      <c r="A38" s="1">
        <v>1125</v>
      </c>
      <c r="B38" s="1">
        <f t="shared" si="2"/>
        <v>3.1374370886566008E-4</v>
      </c>
      <c r="C38" s="1">
        <f t="shared" si="2"/>
        <v>3.137437088656601E-3</v>
      </c>
      <c r="D38" s="1">
        <f t="shared" si="2"/>
        <v>3.1374370886566007E-2</v>
      </c>
      <c r="E38" s="1">
        <f>(1*101300)/(287*$A38)</f>
        <v>0.31374370886566011</v>
      </c>
    </row>
    <row r="39" spans="1:5" x14ac:dyDescent="0.25">
      <c r="A39" s="1">
        <v>1150</v>
      </c>
      <c r="B39" s="1">
        <f t="shared" si="2"/>
        <v>3.0692319345553703E-4</v>
      </c>
      <c r="C39" s="1">
        <f t="shared" si="2"/>
        <v>3.0692319345553705E-3</v>
      </c>
      <c r="D39" s="1">
        <f t="shared" si="2"/>
        <v>3.0692319345553703E-2</v>
      </c>
      <c r="E39" s="1">
        <f>(1*101300)/(287*$A39)</f>
        <v>0.30692319345553704</v>
      </c>
    </row>
    <row r="40" spans="1:5" x14ac:dyDescent="0.25">
      <c r="A40" s="1">
        <v>1175</v>
      </c>
      <c r="B40" s="1">
        <f t="shared" si="2"/>
        <v>3.0039291274371711E-4</v>
      </c>
      <c r="C40" s="1">
        <f t="shared" si="2"/>
        <v>3.0039291274371709E-3</v>
      </c>
      <c r="D40" s="1">
        <f t="shared" si="2"/>
        <v>3.0039291274371709E-2</v>
      </c>
      <c r="E40" s="1">
        <f>(1*101300)/(287*$A40)</f>
        <v>0.3003929127437171</v>
      </c>
    </row>
    <row r="41" spans="1:5" x14ac:dyDescent="0.25">
      <c r="A41" s="1">
        <v>1200</v>
      </c>
      <c r="B41" s="1">
        <f t="shared" si="2"/>
        <v>2.9413472706155635E-4</v>
      </c>
      <c r="C41" s="1">
        <f t="shared" si="2"/>
        <v>2.9413472706155634E-3</v>
      </c>
      <c r="D41" s="1">
        <f t="shared" si="2"/>
        <v>2.9413472706155634E-2</v>
      </c>
      <c r="E41" s="1">
        <f>(1*101300)/(287*$A41)</f>
        <v>0.29413472706155636</v>
      </c>
    </row>
    <row r="42" spans="1:5" x14ac:dyDescent="0.25">
      <c r="A42" s="1">
        <v>1225</v>
      </c>
      <c r="B42" s="1">
        <f t="shared" si="2"/>
        <v>2.8813197752968785E-4</v>
      </c>
      <c r="C42" s="1">
        <f t="shared" si="2"/>
        <v>2.8813197752968782E-3</v>
      </c>
      <c r="D42" s="1">
        <f t="shared" si="2"/>
        <v>2.8813197752968783E-2</v>
      </c>
      <c r="E42" s="1">
        <f>(1*101300)/(287*$A42)</f>
        <v>0.28813197752968783</v>
      </c>
    </row>
    <row r="43" spans="1:5" x14ac:dyDescent="0.25">
      <c r="A43" s="1">
        <v>1250</v>
      </c>
      <c r="B43" s="1">
        <f t="shared" si="2"/>
        <v>2.8236933797909407E-4</v>
      </c>
      <c r="C43" s="1">
        <f t="shared" si="2"/>
        <v>2.8236933797909408E-3</v>
      </c>
      <c r="D43" s="1">
        <f t="shared" si="2"/>
        <v>2.8236933797909407E-2</v>
      </c>
      <c r="E43" s="1">
        <f>(1*101300)/(287*$A43)</f>
        <v>0.28236933797909408</v>
      </c>
    </row>
    <row r="44" spans="1:5" x14ac:dyDescent="0.25">
      <c r="A44" s="1">
        <v>1275</v>
      </c>
      <c r="B44" s="1">
        <f t="shared" si="2"/>
        <v>2.7683268429322947E-4</v>
      </c>
      <c r="C44" s="1">
        <f t="shared" si="2"/>
        <v>2.7683268429322949E-3</v>
      </c>
      <c r="D44" s="1">
        <f t="shared" si="2"/>
        <v>2.7683268429322949E-2</v>
      </c>
      <c r="E44" s="1">
        <f>(1*101300)/(287*$A44)</f>
        <v>0.27683268429322949</v>
      </c>
    </row>
    <row r="45" spans="1:5" x14ac:dyDescent="0.25">
      <c r="A45" s="1">
        <v>1300</v>
      </c>
      <c r="B45" s="1">
        <f t="shared" si="2"/>
        <v>2.7150897882605201E-4</v>
      </c>
      <c r="C45" s="1">
        <f t="shared" si="2"/>
        <v>2.7150897882605202E-3</v>
      </c>
      <c r="D45" s="1">
        <f t="shared" si="2"/>
        <v>2.7150897882605201E-2</v>
      </c>
      <c r="E45" s="1">
        <f>(1*101300)/(287*$A45)</f>
        <v>0.27150897882605202</v>
      </c>
    </row>
    <row r="46" spans="1:5" x14ac:dyDescent="0.25">
      <c r="A46" s="1">
        <v>1325</v>
      </c>
      <c r="B46" s="1">
        <f t="shared" si="2"/>
        <v>2.6638616790480575E-4</v>
      </c>
      <c r="C46" s="1">
        <f t="shared" si="2"/>
        <v>2.6638616790480574E-3</v>
      </c>
      <c r="D46" s="1">
        <f t="shared" si="2"/>
        <v>2.6638616790480574E-2</v>
      </c>
      <c r="E46" s="1">
        <f>(1*101300)/(287*$A46)</f>
        <v>0.26638616790480574</v>
      </c>
    </row>
    <row r="47" spans="1:5" x14ac:dyDescent="0.25">
      <c r="A47" s="1">
        <v>1350</v>
      </c>
      <c r="B47" s="1">
        <f t="shared" si="2"/>
        <v>2.614530907213834E-4</v>
      </c>
      <c r="C47" s="1">
        <f t="shared" si="2"/>
        <v>2.6145309072138339E-3</v>
      </c>
      <c r="D47" s="1">
        <f t="shared" si="2"/>
        <v>2.6145309072138339E-2</v>
      </c>
      <c r="E47" s="1">
        <f>(1*101300)/(287*$A47)</f>
        <v>0.2614530907213834</v>
      </c>
    </row>
    <row r="48" spans="1:5" x14ac:dyDescent="0.25">
      <c r="A48" s="1">
        <v>1375</v>
      </c>
      <c r="B48" s="1">
        <f t="shared" si="2"/>
        <v>2.5669939816281277E-4</v>
      </c>
      <c r="C48" s="1">
        <f t="shared" si="2"/>
        <v>2.5669939816281278E-3</v>
      </c>
      <c r="D48" s="1">
        <f t="shared" si="2"/>
        <v>2.5669939816281281E-2</v>
      </c>
      <c r="E48" s="1">
        <f>(1*101300)/(287*$A48)</f>
        <v>0.25669939816281279</v>
      </c>
    </row>
    <row r="49" spans="1:5" x14ac:dyDescent="0.25">
      <c r="A49" s="1">
        <v>1400</v>
      </c>
      <c r="B49" s="1">
        <f t="shared" si="2"/>
        <v>2.5211548033847686E-4</v>
      </c>
      <c r="C49" s="1">
        <f t="shared" si="2"/>
        <v>2.5211548033847687E-3</v>
      </c>
      <c r="D49" s="1">
        <f t="shared" si="2"/>
        <v>2.5211548033847685E-2</v>
      </c>
      <c r="E49" s="1">
        <f>(1*101300)/(287*$A49)</f>
        <v>0.25211548033847686</v>
      </c>
    </row>
    <row r="50" spans="1:5" x14ac:dyDescent="0.25">
      <c r="A50" s="1">
        <v>1425</v>
      </c>
      <c r="B50" s="1">
        <f t="shared" si="2"/>
        <v>2.4769240173604741E-4</v>
      </c>
      <c r="C50" s="1">
        <f t="shared" si="2"/>
        <v>2.4769240173604743E-3</v>
      </c>
      <c r="D50" s="1">
        <f t="shared" si="2"/>
        <v>2.4769240173604743E-2</v>
      </c>
      <c r="E50" s="1">
        <f>(1*101300)/(287*$A50)</f>
        <v>0.24769240173604742</v>
      </c>
    </row>
    <row r="51" spans="1:5" x14ac:dyDescent="0.25">
      <c r="A51" s="1">
        <v>1450</v>
      </c>
      <c r="B51" s="1">
        <f t="shared" si="2"/>
        <v>2.4342184308542592E-4</v>
      </c>
      <c r="C51" s="1">
        <f t="shared" si="2"/>
        <v>2.4342184308542591E-3</v>
      </c>
      <c r="D51" s="1">
        <f t="shared" si="2"/>
        <v>2.4342184308542594E-2</v>
      </c>
      <c r="E51" s="1">
        <f>(1*101300)/(287*$A51)</f>
        <v>0.24342184308542592</v>
      </c>
    </row>
    <row r="52" spans="1:5" x14ac:dyDescent="0.25">
      <c r="A52" s="1">
        <v>1475</v>
      </c>
      <c r="B52" s="1">
        <f t="shared" si="2"/>
        <v>2.3929604913482547E-4</v>
      </c>
      <c r="C52" s="1">
        <f t="shared" si="2"/>
        <v>2.392960491348255E-3</v>
      </c>
      <c r="D52" s="1">
        <f t="shared" si="2"/>
        <v>2.392960491348255E-2</v>
      </c>
      <c r="E52" s="1">
        <f>(1*101300)/(287*$A52)</f>
        <v>0.23929604913482549</v>
      </c>
    </row>
    <row r="53" spans="1:5" x14ac:dyDescent="0.25">
      <c r="A53" s="1">
        <v>1500</v>
      </c>
      <c r="B53" s="1">
        <f t="shared" si="2"/>
        <v>2.3530778164924506E-4</v>
      </c>
      <c r="C53" s="1">
        <f t="shared" si="2"/>
        <v>2.3530778164924508E-3</v>
      </c>
      <c r="D53" s="1">
        <f t="shared" si="2"/>
        <v>2.3530778164924507E-2</v>
      </c>
      <c r="E53" s="1">
        <f>(1*101300)/(287*$A53)</f>
        <v>0.23530778164924507</v>
      </c>
    </row>
    <row r="54" spans="1:5" x14ac:dyDescent="0.25">
      <c r="A54" s="1">
        <v>1525</v>
      </c>
      <c r="B54" s="1">
        <f t="shared" si="2"/>
        <v>2.3145027703204432E-4</v>
      </c>
      <c r="C54" s="1">
        <f t="shared" si="2"/>
        <v>2.3145027703204432E-3</v>
      </c>
      <c r="D54" s="1">
        <f t="shared" si="2"/>
        <v>2.3145027703204434E-2</v>
      </c>
      <c r="E54" s="1">
        <f>(1*101300)/(287*$A54)</f>
        <v>0.23145027703204432</v>
      </c>
    </row>
    <row r="55" spans="1:5" x14ac:dyDescent="0.25">
      <c r="A55" s="1">
        <v>1550</v>
      </c>
      <c r="B55" s="1">
        <f t="shared" si="2"/>
        <v>2.277172080476565E-4</v>
      </c>
      <c r="C55" s="1">
        <f t="shared" si="2"/>
        <v>2.2771720804765651E-3</v>
      </c>
      <c r="D55" s="1">
        <f t="shared" si="2"/>
        <v>2.2771720804765652E-2</v>
      </c>
      <c r="E55" s="1">
        <f>(1*101300)/(287*$A55)</f>
        <v>0.22771720804765652</v>
      </c>
    </row>
    <row r="56" spans="1:5" x14ac:dyDescent="0.25">
      <c r="A56" s="1">
        <v>1575</v>
      </c>
      <c r="B56" s="1">
        <f t="shared" si="2"/>
        <v>2.2410264918975718E-4</v>
      </c>
      <c r="C56" s="1">
        <f t="shared" si="2"/>
        <v>2.2410264918975718E-3</v>
      </c>
      <c r="D56" s="1">
        <f t="shared" si="2"/>
        <v>2.2410264918975721E-2</v>
      </c>
      <c r="E56" s="1">
        <f>(1*101300)/(287*$A56)</f>
        <v>0.2241026491897572</v>
      </c>
    </row>
    <row r="57" spans="1:5" x14ac:dyDescent="0.25">
      <c r="A57" s="1">
        <v>1600</v>
      </c>
      <c r="B57" s="1">
        <f t="shared" si="2"/>
        <v>2.2060104529616725E-4</v>
      </c>
      <c r="C57" s="1">
        <f t="shared" si="2"/>
        <v>2.2060104529616725E-3</v>
      </c>
      <c r="D57" s="1">
        <f t="shared" si="2"/>
        <v>2.2060104529616726E-2</v>
      </c>
      <c r="E57" s="1">
        <f>(1*101300)/(287*$A57)</f>
        <v>0.22060104529616725</v>
      </c>
    </row>
    <row r="58" spans="1:5" x14ac:dyDescent="0.25">
      <c r="A58" s="1">
        <v>1625</v>
      </c>
      <c r="B58" s="1">
        <f t="shared" si="2"/>
        <v>2.172071830608416E-4</v>
      </c>
      <c r="C58" s="1">
        <f t="shared" si="2"/>
        <v>2.1720718306084161E-3</v>
      </c>
      <c r="D58" s="1">
        <f t="shared" si="2"/>
        <v>2.1720718306084161E-2</v>
      </c>
      <c r="E58" s="1">
        <f>(1*101300)/(287*$A58)</f>
        <v>0.21720718306084161</v>
      </c>
    </row>
    <row r="59" spans="1:5" x14ac:dyDescent="0.25">
      <c r="A59" s="1">
        <v>1650</v>
      </c>
      <c r="B59" s="1">
        <f t="shared" si="2"/>
        <v>2.1391616513567733E-4</v>
      </c>
      <c r="C59" s="1">
        <f t="shared" si="2"/>
        <v>2.1391616513567733E-3</v>
      </c>
      <c r="D59" s="1">
        <f t="shared" si="2"/>
        <v>2.1391616513567732E-2</v>
      </c>
      <c r="E59" s="1">
        <f>(1*101300)/(287*$A59)</f>
        <v>0.21391616513567732</v>
      </c>
    </row>
    <row r="60" spans="1:5" x14ac:dyDescent="0.25">
      <c r="A60" s="1">
        <v>1675</v>
      </c>
      <c r="B60" s="1">
        <f t="shared" si="2"/>
        <v>2.1072338655156274E-4</v>
      </c>
      <c r="C60" s="1">
        <f t="shared" si="2"/>
        <v>2.1072338655156275E-3</v>
      </c>
      <c r="D60" s="1">
        <f t="shared" si="2"/>
        <v>2.1072338655156276E-2</v>
      </c>
      <c r="E60" s="1">
        <f>(1*101300)/(287*$A60)</f>
        <v>0.21072338655156275</v>
      </c>
    </row>
    <row r="61" spans="1:5" x14ac:dyDescent="0.25">
      <c r="A61" s="1">
        <v>1700</v>
      </c>
      <c r="B61" s="1">
        <f t="shared" si="2"/>
        <v>2.076245132199221E-4</v>
      </c>
      <c r="C61" s="1">
        <f t="shared" si="2"/>
        <v>2.0762451321992212E-3</v>
      </c>
      <c r="D61" s="1">
        <f t="shared" si="2"/>
        <v>2.0762451321992212E-2</v>
      </c>
      <c r="E61" s="1">
        <f>(1*101300)/(287*$A61)</f>
        <v>0.20762451321992212</v>
      </c>
    </row>
    <row r="62" spans="1:5" x14ac:dyDescent="0.25">
      <c r="A62" s="1">
        <v>1725</v>
      </c>
      <c r="B62" s="1">
        <f t="shared" si="2"/>
        <v>2.0461546230369135E-4</v>
      </c>
      <c r="C62" s="1">
        <f t="shared" si="2"/>
        <v>2.0461546230369134E-3</v>
      </c>
      <c r="D62" s="1">
        <f t="shared" si="2"/>
        <v>2.0461546230369138E-2</v>
      </c>
      <c r="E62" s="1">
        <f>(1*101300)/(287*$A62)</f>
        <v>0.20461546230369135</v>
      </c>
    </row>
    <row r="63" spans="1:5" x14ac:dyDescent="0.25">
      <c r="A63" s="1">
        <v>1750</v>
      </c>
      <c r="B63" s="1">
        <f t="shared" si="2"/>
        <v>2.0169238427078149E-4</v>
      </c>
      <c r="C63" s="1">
        <f t="shared" si="2"/>
        <v>2.0169238427078149E-3</v>
      </c>
      <c r="D63" s="1">
        <f t="shared" si="2"/>
        <v>2.016923842707815E-2</v>
      </c>
      <c r="E63" s="1">
        <f>(1*101300)/(287*$A63)</f>
        <v>0.20169238427078148</v>
      </c>
    </row>
    <row r="64" spans="1:5" x14ac:dyDescent="0.25">
      <c r="A64" s="1">
        <v>1775</v>
      </c>
      <c r="B64" s="1">
        <f t="shared" si="2"/>
        <v>1.9885164646415076E-4</v>
      </c>
      <c r="C64" s="1">
        <f t="shared" si="2"/>
        <v>1.9885164646415076E-3</v>
      </c>
      <c r="D64" s="1">
        <f t="shared" si="2"/>
        <v>1.9885164646415075E-2</v>
      </c>
      <c r="E64" s="1">
        <f>(1*101300)/(287*$A64)</f>
        <v>0.19885164646415077</v>
      </c>
    </row>
    <row r="65" spans="1:5" x14ac:dyDescent="0.25">
      <c r="A65" s="1">
        <v>1800</v>
      </c>
      <c r="B65" s="1">
        <f t="shared" si="2"/>
        <v>1.9608981804103754E-4</v>
      </c>
      <c r="C65" s="1">
        <f t="shared" si="2"/>
        <v>1.9608981804103754E-3</v>
      </c>
      <c r="D65" s="1">
        <f t="shared" si="2"/>
        <v>1.9608981804103757E-2</v>
      </c>
      <c r="E65" s="1">
        <f>(1*101300)/(287*$A65)</f>
        <v>0.19608981804103756</v>
      </c>
    </row>
    <row r="66" spans="1:5" x14ac:dyDescent="0.25">
      <c r="A66" s="1">
        <v>1825</v>
      </c>
      <c r="B66" s="1">
        <f t="shared" si="2"/>
        <v>1.9340365615006444E-4</v>
      </c>
      <c r="C66" s="1">
        <f t="shared" si="2"/>
        <v>1.9340365615006445E-3</v>
      </c>
      <c r="D66" s="1">
        <f t="shared" si="2"/>
        <v>1.9340365615006443E-2</v>
      </c>
      <c r="E66" s="1">
        <f>(1*101300)/(287*$A66)</f>
        <v>0.19340365615006444</v>
      </c>
    </row>
    <row r="67" spans="1:5" x14ac:dyDescent="0.25">
      <c r="A67" s="1">
        <v>1850</v>
      </c>
      <c r="B67" s="1">
        <f t="shared" si="2"/>
        <v>1.907900932291176E-4</v>
      </c>
      <c r="C67" s="1">
        <f t="shared" si="2"/>
        <v>1.9079009322911763E-3</v>
      </c>
      <c r="D67" s="1">
        <f t="shared" si="2"/>
        <v>1.9079009322911761E-2</v>
      </c>
      <c r="E67" s="1">
        <f>(1*101300)/(287*$A67)</f>
        <v>0.19079009322911761</v>
      </c>
    </row>
    <row r="68" spans="1:5" x14ac:dyDescent="0.25">
      <c r="A68" s="1">
        <v>1875</v>
      </c>
      <c r="B68" s="1">
        <f t="shared" ref="B68:D99" si="3">(B$2*101300)/(287*$A68)</f>
        <v>1.8824622531939605E-4</v>
      </c>
      <c r="C68" s="1">
        <f t="shared" si="3"/>
        <v>1.8824622531939605E-3</v>
      </c>
      <c r="D68" s="1">
        <f t="shared" si="3"/>
        <v>1.8824622531939606E-2</v>
      </c>
      <c r="E68" s="1">
        <f>(1*101300)/(287*$A68)</f>
        <v>0.18824622531939605</v>
      </c>
    </row>
    <row r="69" spans="1:5" x14ac:dyDescent="0.25">
      <c r="A69" s="1">
        <v>1900</v>
      </c>
      <c r="B69" s="1">
        <f t="shared" si="3"/>
        <v>1.8576930130203558E-4</v>
      </c>
      <c r="C69" s="1">
        <f t="shared" si="3"/>
        <v>1.8576930130203557E-3</v>
      </c>
      <c r="D69" s="1">
        <f t="shared" si="3"/>
        <v>1.8576930130203558E-2</v>
      </c>
      <c r="E69" s="1">
        <f>(1*101300)/(287*$A69)</f>
        <v>0.18576930130203559</v>
      </c>
    </row>
    <row r="70" spans="1:5" x14ac:dyDescent="0.25">
      <c r="A70" s="1">
        <v>1925</v>
      </c>
      <c r="B70" s="1">
        <f t="shared" si="3"/>
        <v>1.8335671297343772E-4</v>
      </c>
      <c r="C70" s="1">
        <f t="shared" si="3"/>
        <v>1.833567129734377E-3</v>
      </c>
      <c r="D70" s="1">
        <f t="shared" si="3"/>
        <v>1.8335671297343772E-2</v>
      </c>
      <c r="E70" s="1">
        <f>(1*101300)/(287*$A70)</f>
        <v>0.18335671297343772</v>
      </c>
    </row>
    <row r="71" spans="1:5" x14ac:dyDescent="0.25">
      <c r="A71" s="1">
        <v>1950</v>
      </c>
      <c r="B71" s="1">
        <f t="shared" si="3"/>
        <v>1.8100598588403465E-4</v>
      </c>
      <c r="C71" s="1">
        <f t="shared" si="3"/>
        <v>1.8100598588403466E-3</v>
      </c>
      <c r="D71" s="1">
        <f t="shared" si="3"/>
        <v>1.8100598588403467E-2</v>
      </c>
      <c r="E71" s="1">
        <f>(1*101300)/(287*$A71)</f>
        <v>0.18100598588403466</v>
      </c>
    </row>
    <row r="72" spans="1:5" x14ac:dyDescent="0.25">
      <c r="A72" s="1">
        <v>1975</v>
      </c>
      <c r="B72" s="1">
        <f t="shared" si="3"/>
        <v>1.7871477087284436E-4</v>
      </c>
      <c r="C72" s="1">
        <f t="shared" si="3"/>
        <v>1.7871477087284436E-3</v>
      </c>
      <c r="D72" s="1">
        <f t="shared" si="3"/>
        <v>1.7871477087284437E-2</v>
      </c>
      <c r="E72" s="1">
        <f>(1*101300)/(287*$A72)</f>
        <v>0.17871477087284435</v>
      </c>
    </row>
    <row r="73" spans="1:5" x14ac:dyDescent="0.25">
      <c r="A73" s="1">
        <v>2000</v>
      </c>
      <c r="B73" s="1">
        <f t="shared" si="3"/>
        <v>1.764808362369338E-4</v>
      </c>
      <c r="C73" s="1">
        <f t="shared" si="3"/>
        <v>1.764808362369338E-3</v>
      </c>
      <c r="D73" s="1">
        <f t="shared" si="3"/>
        <v>1.764808362369338E-2</v>
      </c>
      <c r="E73" s="1">
        <f>(1*101300)/(287*$A73)</f>
        <v>0.17648083623693381</v>
      </c>
    </row>
    <row r="74" spans="1:5" x14ac:dyDescent="0.25">
      <c r="A74" s="1">
        <v>2025</v>
      </c>
      <c r="B74" s="1">
        <f t="shared" si="3"/>
        <v>1.7430206048092226E-4</v>
      </c>
      <c r="C74" s="1">
        <f t="shared" si="3"/>
        <v>1.7430206048092227E-3</v>
      </c>
      <c r="D74" s="1">
        <f t="shared" si="3"/>
        <v>1.7430206048092228E-2</v>
      </c>
      <c r="E74" s="1">
        <f>(1*101300)/(287*$A74)</f>
        <v>0.17430206048092228</v>
      </c>
    </row>
    <row r="75" spans="1:5" x14ac:dyDescent="0.25">
      <c r="A75" s="1">
        <v>2050</v>
      </c>
      <c r="B75" s="1">
        <f t="shared" si="3"/>
        <v>1.7217642559700858E-4</v>
      </c>
      <c r="C75" s="1">
        <f t="shared" si="3"/>
        <v>1.7217642559700858E-3</v>
      </c>
      <c r="D75" s="1">
        <f t="shared" si="3"/>
        <v>1.7217642559700857E-2</v>
      </c>
      <c r="E75" s="1">
        <f>(1*101300)/(287*$A75)</f>
        <v>0.17217642559700858</v>
      </c>
    </row>
    <row r="76" spans="1:5" x14ac:dyDescent="0.25">
      <c r="A76" s="1">
        <v>2075</v>
      </c>
      <c r="B76" s="1">
        <f t="shared" si="3"/>
        <v>1.7010201083077957E-4</v>
      </c>
      <c r="C76" s="1">
        <f t="shared" si="3"/>
        <v>1.7010201083077956E-3</v>
      </c>
      <c r="D76" s="1">
        <f t="shared" si="3"/>
        <v>1.7010201083077957E-2</v>
      </c>
      <c r="E76" s="1">
        <f>(1*101300)/(287*$A76)</f>
        <v>0.17010201083077955</v>
      </c>
    </row>
    <row r="77" spans="1:5" x14ac:dyDescent="0.25">
      <c r="A77" s="1">
        <v>2100</v>
      </c>
      <c r="B77" s="1">
        <f t="shared" si="3"/>
        <v>1.6807698689231789E-4</v>
      </c>
      <c r="C77" s="1">
        <f t="shared" si="3"/>
        <v>1.680769868923179E-3</v>
      </c>
      <c r="D77" s="1">
        <f t="shared" si="3"/>
        <v>1.6807698689231789E-2</v>
      </c>
      <c r="E77" s="1">
        <f>(1*101300)/(287*$A77)</f>
        <v>0.1680769868923179</v>
      </c>
    </row>
    <row r="78" spans="1:5" x14ac:dyDescent="0.25">
      <c r="A78" s="1">
        <v>2125</v>
      </c>
      <c r="B78" s="1">
        <f t="shared" si="3"/>
        <v>1.6609961057593769E-4</v>
      </c>
      <c r="C78" s="1">
        <f t="shared" si="3"/>
        <v>1.6609961057593768E-3</v>
      </c>
      <c r="D78" s="1">
        <f t="shared" si="3"/>
        <v>1.660996105759377E-2</v>
      </c>
      <c r="E78" s="1">
        <f>(1*101300)/(287*$A78)</f>
        <v>0.1660996105759377</v>
      </c>
    </row>
    <row r="79" spans="1:5" x14ac:dyDescent="0.25">
      <c r="A79" s="1">
        <v>2150</v>
      </c>
      <c r="B79" s="1">
        <f t="shared" si="3"/>
        <v>1.6416821975528725E-4</v>
      </c>
      <c r="C79" s="1">
        <f t="shared" si="3"/>
        <v>1.6416821975528725E-3</v>
      </c>
      <c r="D79" s="1">
        <f t="shared" si="3"/>
        <v>1.6416821975528725E-2</v>
      </c>
      <c r="E79" s="1">
        <f>(1*101300)/(287*$A79)</f>
        <v>0.16416821975528725</v>
      </c>
    </row>
    <row r="80" spans="1:5" x14ac:dyDescent="0.25">
      <c r="A80" s="1">
        <v>2175</v>
      </c>
      <c r="B80" s="1">
        <f t="shared" si="3"/>
        <v>1.6228122872361729E-4</v>
      </c>
      <c r="C80" s="1">
        <f t="shared" si="3"/>
        <v>1.622812287236173E-3</v>
      </c>
      <c r="D80" s="1">
        <f t="shared" si="3"/>
        <v>1.6228122872361729E-2</v>
      </c>
      <c r="E80" s="1">
        <f>(1*101300)/(287*$A80)</f>
        <v>0.16228122872361728</v>
      </c>
    </row>
    <row r="81" spans="1:5" x14ac:dyDescent="0.25">
      <c r="A81" s="1">
        <v>2200</v>
      </c>
      <c r="B81" s="1">
        <f t="shared" si="3"/>
        <v>1.6043712385175799E-4</v>
      </c>
      <c r="C81" s="1">
        <f t="shared" si="3"/>
        <v>1.6043712385175801E-3</v>
      </c>
      <c r="D81" s="1">
        <f t="shared" si="3"/>
        <v>1.6043712385175799E-2</v>
      </c>
      <c r="E81" s="1">
        <f>(1*101300)/(287*$A81)</f>
        <v>0.16043712385175798</v>
      </c>
    </row>
    <row r="82" spans="1:5" x14ac:dyDescent="0.25">
      <c r="A82" s="1">
        <v>2225</v>
      </c>
      <c r="B82" s="1">
        <f t="shared" si="3"/>
        <v>1.5863445953881688E-4</v>
      </c>
      <c r="C82" s="1">
        <f t="shared" si="3"/>
        <v>1.5863445953881691E-3</v>
      </c>
      <c r="D82" s="1">
        <f t="shared" si="3"/>
        <v>1.5863445953881689E-2</v>
      </c>
      <c r="E82" s="1">
        <f>(1*101300)/(287*$A82)</f>
        <v>0.15863445953881689</v>
      </c>
    </row>
    <row r="83" spans="1:5" x14ac:dyDescent="0.25">
      <c r="A83" s="1">
        <v>2250</v>
      </c>
      <c r="B83" s="1">
        <f t="shared" si="3"/>
        <v>1.5687185443283004E-4</v>
      </c>
      <c r="C83" s="1">
        <f t="shared" si="3"/>
        <v>1.5687185443283005E-3</v>
      </c>
      <c r="D83" s="1">
        <f t="shared" si="3"/>
        <v>1.5687185443283003E-2</v>
      </c>
      <c r="E83" s="1">
        <f>(1*101300)/(287*$A83)</f>
        <v>0.15687185443283005</v>
      </c>
    </row>
    <row r="84" spans="1:5" x14ac:dyDescent="0.25">
      <c r="A84" s="1">
        <v>2275</v>
      </c>
      <c r="B84" s="1">
        <f t="shared" si="3"/>
        <v>1.5514798790060112E-4</v>
      </c>
      <c r="C84" s="1">
        <f t="shared" si="3"/>
        <v>1.5514798790060113E-3</v>
      </c>
      <c r="D84" s="1">
        <f t="shared" si="3"/>
        <v>1.5514798790060114E-2</v>
      </c>
      <c r="E84" s="1">
        <f>(1*101300)/(287*$A84)</f>
        <v>0.15514798790060114</v>
      </c>
    </row>
    <row r="85" spans="1:5" x14ac:dyDescent="0.25">
      <c r="A85" s="1">
        <v>2300</v>
      </c>
      <c r="B85" s="1">
        <f t="shared" si="3"/>
        <v>1.5346159672776852E-4</v>
      </c>
      <c r="C85" s="1">
        <f t="shared" si="3"/>
        <v>1.5346159672776853E-3</v>
      </c>
      <c r="D85" s="1">
        <f t="shared" si="3"/>
        <v>1.5346159672776851E-2</v>
      </c>
      <c r="E85" s="1">
        <f>(1*101300)/(287*$A85)</f>
        <v>0.15346159672776852</v>
      </c>
    </row>
    <row r="86" spans="1:5" x14ac:dyDescent="0.25">
      <c r="A86" s="1">
        <v>2325</v>
      </c>
      <c r="B86" s="1">
        <f t="shared" si="3"/>
        <v>1.51811472031771E-4</v>
      </c>
      <c r="C86" s="1">
        <f t="shared" si="3"/>
        <v>1.5181147203177101E-3</v>
      </c>
      <c r="D86" s="1">
        <f t="shared" si="3"/>
        <v>1.5181147203177101E-2</v>
      </c>
      <c r="E86" s="1">
        <f>(1*101300)/(287*$A86)</f>
        <v>0.15181147203177101</v>
      </c>
    </row>
    <row r="87" spans="1:5" x14ac:dyDescent="0.25">
      <c r="A87" s="1">
        <v>2350</v>
      </c>
      <c r="B87" s="1">
        <f t="shared" si="3"/>
        <v>1.5019645637185855E-4</v>
      </c>
      <c r="C87" s="1">
        <f t="shared" si="3"/>
        <v>1.5019645637185854E-3</v>
      </c>
      <c r="D87" s="1">
        <f t="shared" si="3"/>
        <v>1.5019645637185854E-2</v>
      </c>
      <c r="E87" s="1">
        <f>(1*101300)/(287*$A87)</f>
        <v>0.15019645637185855</v>
      </c>
    </row>
    <row r="88" spans="1:5" x14ac:dyDescent="0.25">
      <c r="A88" s="1">
        <v>2375</v>
      </c>
      <c r="B88" s="1">
        <f t="shared" si="3"/>
        <v>1.4861544104162846E-4</v>
      </c>
      <c r="C88" s="1">
        <f t="shared" si="3"/>
        <v>1.4861544104162847E-3</v>
      </c>
      <c r="D88" s="1">
        <f t="shared" si="3"/>
        <v>1.4861544104162846E-2</v>
      </c>
      <c r="E88" s="1">
        <f>(1*101300)/(287*$A88)</f>
        <v>0.14861544104162847</v>
      </c>
    </row>
    <row r="89" spans="1:5" x14ac:dyDescent="0.25">
      <c r="A89" s="1">
        <v>2400</v>
      </c>
      <c r="B89" s="1">
        <f t="shared" si="3"/>
        <v>1.4706736353077817E-4</v>
      </c>
      <c r="C89" s="1">
        <f t="shared" si="3"/>
        <v>1.4706736353077817E-3</v>
      </c>
      <c r="D89" s="1">
        <f t="shared" si="3"/>
        <v>1.4706736353077817E-2</v>
      </c>
      <c r="E89" s="1">
        <f>(1*101300)/(287*$A89)</f>
        <v>0.14706736353077818</v>
      </c>
    </row>
    <row r="90" spans="1:5" x14ac:dyDescent="0.25">
      <c r="A90" s="1">
        <v>2425</v>
      </c>
      <c r="B90" s="1">
        <f t="shared" si="3"/>
        <v>1.4555120514386292E-4</v>
      </c>
      <c r="C90" s="1">
        <f t="shared" si="3"/>
        <v>1.4555120514386293E-3</v>
      </c>
      <c r="D90" s="1">
        <f t="shared" si="3"/>
        <v>1.4555120514386292E-2</v>
      </c>
      <c r="E90" s="1">
        <f>(1*101300)/(287*$A90)</f>
        <v>0.14555120514386294</v>
      </c>
    </row>
    <row r="91" spans="1:5" x14ac:dyDescent="0.25">
      <c r="A91" s="1">
        <v>2450</v>
      </c>
      <c r="B91" s="1">
        <f t="shared" si="3"/>
        <v>1.4406598876484392E-4</v>
      </c>
      <c r="C91" s="1">
        <f t="shared" si="3"/>
        <v>1.4406598876484391E-3</v>
      </c>
      <c r="D91" s="1">
        <f t="shared" si="3"/>
        <v>1.4406598876484392E-2</v>
      </c>
      <c r="E91" s="1">
        <f>(1*101300)/(287*$A91)</f>
        <v>0.14406598876484392</v>
      </c>
    </row>
    <row r="92" spans="1:5" x14ac:dyDescent="0.25">
      <c r="A92" s="1">
        <v>2475</v>
      </c>
      <c r="B92" s="1">
        <f t="shared" si="3"/>
        <v>1.4261077675711823E-4</v>
      </c>
      <c r="C92" s="1">
        <f t="shared" si="3"/>
        <v>1.4261077675711822E-3</v>
      </c>
      <c r="D92" s="1">
        <f t="shared" si="3"/>
        <v>1.4261077675711822E-2</v>
      </c>
      <c r="E92" s="1">
        <f>(1*101300)/(287*$A92)</f>
        <v>0.14261077675711822</v>
      </c>
    </row>
    <row r="93" spans="1:5" x14ac:dyDescent="0.25">
      <c r="A93" s="1">
        <v>2500</v>
      </c>
      <c r="B93" s="1">
        <f t="shared" si="3"/>
        <v>1.4118466898954704E-4</v>
      </c>
      <c r="C93" s="1">
        <f t="shared" si="3"/>
        <v>1.4118466898954704E-3</v>
      </c>
      <c r="D93" s="1">
        <f t="shared" si="3"/>
        <v>1.4118466898954704E-2</v>
      </c>
      <c r="E93" s="1">
        <f>(1*101300)/(287*$A93)</f>
        <v>0.14118466898954704</v>
      </c>
    </row>
    <row r="94" spans="1:5" x14ac:dyDescent="0.25">
      <c r="A94" s="1">
        <v>2525</v>
      </c>
      <c r="B94" s="1">
        <f t="shared" si="3"/>
        <v>1.3978680097974955E-4</v>
      </c>
      <c r="C94" s="1">
        <f t="shared" si="3"/>
        <v>1.3978680097974955E-3</v>
      </c>
      <c r="D94" s="1">
        <f t="shared" si="3"/>
        <v>1.3978680097974955E-2</v>
      </c>
      <c r="E94" s="1">
        <f>(1*101300)/(287*$A94)</f>
        <v>0.13978680097974955</v>
      </c>
    </row>
    <row r="95" spans="1:5" x14ac:dyDescent="0.25">
      <c r="A95" s="1">
        <v>2550</v>
      </c>
      <c r="B95" s="1">
        <f t="shared" si="3"/>
        <v>1.3841634214661474E-4</v>
      </c>
      <c r="C95" s="1">
        <f t="shared" si="3"/>
        <v>1.3841634214661475E-3</v>
      </c>
      <c r="D95" s="1">
        <f t="shared" si="3"/>
        <v>1.3841634214661475E-2</v>
      </c>
      <c r="E95" s="1">
        <f>(1*101300)/(287*$A95)</f>
        <v>0.13841634214661475</v>
      </c>
    </row>
    <row r="96" spans="1:5" x14ac:dyDescent="0.25">
      <c r="A96" s="1">
        <v>2575</v>
      </c>
      <c r="B96" s="1">
        <f t="shared" si="3"/>
        <v>1.3707249416460877E-4</v>
      </c>
      <c r="C96" s="1">
        <f t="shared" si="3"/>
        <v>1.3707249416460877E-3</v>
      </c>
      <c r="D96" s="1">
        <f t="shared" si="3"/>
        <v>1.3707249416460877E-2</v>
      </c>
      <c r="E96" s="1">
        <f>(1*101300)/(287*$A96)</f>
        <v>0.13707249416460879</v>
      </c>
    </row>
    <row r="97" spans="1:5" x14ac:dyDescent="0.25">
      <c r="A97" s="1">
        <v>2600</v>
      </c>
      <c r="B97" s="1">
        <f t="shared" si="3"/>
        <v>1.35754489413026E-4</v>
      </c>
      <c r="C97" s="1">
        <f t="shared" si="3"/>
        <v>1.3575448941302601E-3</v>
      </c>
      <c r="D97" s="1">
        <f t="shared" si="3"/>
        <v>1.35754489413026E-2</v>
      </c>
      <c r="E97" s="1">
        <f>(1*101300)/(287*$A97)</f>
        <v>0.13575448941302601</v>
      </c>
    </row>
    <row r="98" spans="1:5" x14ac:dyDescent="0.25">
      <c r="A98" s="1">
        <v>2625</v>
      </c>
      <c r="B98" s="1">
        <f t="shared" si="3"/>
        <v>1.3446158951385432E-4</v>
      </c>
      <c r="C98" s="1">
        <f t="shared" si="3"/>
        <v>1.3446158951385433E-3</v>
      </c>
      <c r="D98" s="1">
        <f t="shared" si="3"/>
        <v>1.3446158951385432E-2</v>
      </c>
      <c r="E98" s="1">
        <f>(1*101300)/(287*$A98)</f>
        <v>0.13446158951385431</v>
      </c>
    </row>
    <row r="99" spans="1:5" x14ac:dyDescent="0.25">
      <c r="A99" s="1">
        <v>2650</v>
      </c>
      <c r="B99" s="1">
        <f t="shared" si="3"/>
        <v>1.3319308395240287E-4</v>
      </c>
      <c r="C99" s="1">
        <f t="shared" si="3"/>
        <v>1.3319308395240287E-3</v>
      </c>
      <c r="D99" s="1">
        <f t="shared" si="3"/>
        <v>1.3319308395240287E-2</v>
      </c>
      <c r="E99" s="1">
        <f>(1*101300)/(287*$A99)</f>
        <v>0.13319308395240287</v>
      </c>
    </row>
    <row r="100" spans="1:5" x14ac:dyDescent="0.25">
      <c r="A100" s="1">
        <v>2675</v>
      </c>
      <c r="B100" s="1">
        <f t="shared" ref="B100:D131" si="4">(B$2*101300)/(287*$A100)</f>
        <v>1.3194828877527759E-4</v>
      </c>
      <c r="C100" s="1">
        <f t="shared" si="4"/>
        <v>1.3194828877527761E-3</v>
      </c>
      <c r="D100" s="1">
        <f t="shared" si="4"/>
        <v>1.3194828877527761E-2</v>
      </c>
      <c r="E100" s="1">
        <f>(1*101300)/(287*$A100)</f>
        <v>0.13194828877527762</v>
      </c>
    </row>
    <row r="101" spans="1:5" x14ac:dyDescent="0.25">
      <c r="A101" s="1">
        <v>2700</v>
      </c>
      <c r="B101" s="1">
        <f t="shared" si="4"/>
        <v>1.307265453606917E-4</v>
      </c>
      <c r="C101" s="1">
        <f t="shared" si="4"/>
        <v>1.3072654536069169E-3</v>
      </c>
      <c r="D101" s="1">
        <f t="shared" si="4"/>
        <v>1.3072654536069169E-2</v>
      </c>
      <c r="E101" s="1">
        <f>(1*101300)/(287*$A101)</f>
        <v>0.1307265453606917</v>
      </c>
    </row>
    <row r="102" spans="1:5" x14ac:dyDescent="0.25">
      <c r="A102" s="1">
        <v>2725</v>
      </c>
      <c r="B102" s="1">
        <f t="shared" si="4"/>
        <v>1.2952721925646517E-4</v>
      </c>
      <c r="C102" s="1">
        <f t="shared" si="4"/>
        <v>1.2952721925646518E-3</v>
      </c>
      <c r="D102" s="1">
        <f t="shared" si="4"/>
        <v>1.2952721925646518E-2</v>
      </c>
      <c r="E102" s="1">
        <f>(1*101300)/(287*$A102)</f>
        <v>0.12952721925646518</v>
      </c>
    </row>
    <row r="103" spans="1:5" x14ac:dyDescent="0.25">
      <c r="A103" s="1">
        <v>2750</v>
      </c>
      <c r="B103" s="1">
        <f t="shared" si="4"/>
        <v>1.2834969908140638E-4</v>
      </c>
      <c r="C103" s="1">
        <f t="shared" si="4"/>
        <v>1.2834969908140639E-3</v>
      </c>
      <c r="D103" s="1">
        <f t="shared" si="4"/>
        <v>1.2834969908140641E-2</v>
      </c>
      <c r="E103" s="1">
        <f>(1*101300)/(287*$A103)</f>
        <v>0.12834969908140639</v>
      </c>
    </row>
    <row r="104" spans="1:5" x14ac:dyDescent="0.25">
      <c r="A104" s="1">
        <v>2775</v>
      </c>
      <c r="B104" s="1">
        <f t="shared" si="4"/>
        <v>1.271933954860784E-4</v>
      </c>
      <c r="C104" s="1">
        <f t="shared" si="4"/>
        <v>1.271933954860784E-3</v>
      </c>
      <c r="D104" s="1">
        <f t="shared" si="4"/>
        <v>1.2719339548607841E-2</v>
      </c>
      <c r="E104" s="1">
        <f>(1*101300)/(287*$A104)</f>
        <v>0.12719339548607841</v>
      </c>
    </row>
    <row r="105" spans="1:5" x14ac:dyDescent="0.25">
      <c r="A105" s="1">
        <v>2800</v>
      </c>
      <c r="B105" s="1">
        <f t="shared" si="4"/>
        <v>1.2605774016923843E-4</v>
      </c>
      <c r="C105" s="1">
        <f t="shared" si="4"/>
        <v>1.2605774016923844E-3</v>
      </c>
      <c r="D105" s="1">
        <f t="shared" si="4"/>
        <v>1.2605774016923843E-2</v>
      </c>
      <c r="E105" s="1">
        <f>(1*101300)/(287*$A105)</f>
        <v>0.12605774016923843</v>
      </c>
    </row>
    <row r="106" spans="1:5" x14ac:dyDescent="0.25">
      <c r="A106" s="1">
        <v>2825</v>
      </c>
      <c r="B106" s="1">
        <f t="shared" si="4"/>
        <v>1.2494218494650181E-4</v>
      </c>
      <c r="C106" s="1">
        <f t="shared" si="4"/>
        <v>1.249421849465018E-3</v>
      </c>
      <c r="D106" s="1">
        <f t="shared" si="4"/>
        <v>1.249421849465018E-2</v>
      </c>
      <c r="E106" s="1">
        <f>(1*101300)/(287*$A106)</f>
        <v>0.12494218494650181</v>
      </c>
    </row>
    <row r="107" spans="1:5" x14ac:dyDescent="0.25">
      <c r="A107" s="1">
        <v>2850</v>
      </c>
      <c r="B107" s="1">
        <f t="shared" si="4"/>
        <v>1.238462008680237E-4</v>
      </c>
      <c r="C107" s="1">
        <f t="shared" si="4"/>
        <v>1.2384620086802372E-3</v>
      </c>
      <c r="D107" s="1">
        <f t="shared" si="4"/>
        <v>1.2384620086802372E-2</v>
      </c>
      <c r="E107" s="1">
        <f>(1*101300)/(287*$A107)</f>
        <v>0.12384620086802371</v>
      </c>
    </row>
    <row r="108" spans="1:5" x14ac:dyDescent="0.25">
      <c r="A108" s="1">
        <v>2875</v>
      </c>
      <c r="B108" s="1">
        <f t="shared" si="4"/>
        <v>1.227692773822148E-4</v>
      </c>
      <c r="C108" s="1">
        <f t="shared" si="4"/>
        <v>1.2276927738221481E-3</v>
      </c>
      <c r="D108" s="1">
        <f t="shared" si="4"/>
        <v>1.2276927738221482E-2</v>
      </c>
      <c r="E108" s="1">
        <f>(1*101300)/(287*$A108)</f>
        <v>0.12276927738221481</v>
      </c>
    </row>
    <row r="109" spans="1:5" x14ac:dyDescent="0.25">
      <c r="A109" s="1">
        <v>2900</v>
      </c>
      <c r="B109" s="1">
        <f t="shared" si="4"/>
        <v>1.2171092154271296E-4</v>
      </c>
      <c r="C109" s="1">
        <f t="shared" si="4"/>
        <v>1.2171092154271295E-3</v>
      </c>
      <c r="D109" s="1">
        <f t="shared" si="4"/>
        <v>1.2171092154271297E-2</v>
      </c>
      <c r="E109" s="1">
        <f>(1*101300)/(287*$A109)</f>
        <v>0.12171092154271296</v>
      </c>
    </row>
    <row r="110" spans="1:5" x14ac:dyDescent="0.25">
      <c r="A110" s="1">
        <v>2925</v>
      </c>
      <c r="B110" s="1">
        <f t="shared" si="4"/>
        <v>1.2067065725602311E-4</v>
      </c>
      <c r="C110" s="1">
        <f t="shared" si="4"/>
        <v>1.2067065725602311E-3</v>
      </c>
      <c r="D110" s="1">
        <f t="shared" si="4"/>
        <v>1.2067065725602311E-2</v>
      </c>
      <c r="E110" s="1">
        <f>(1*101300)/(287*$A110)</f>
        <v>0.12067065725602311</v>
      </c>
    </row>
    <row r="111" spans="1:5" x14ac:dyDescent="0.25">
      <c r="A111" s="1">
        <v>2950</v>
      </c>
      <c r="B111" s="1">
        <f t="shared" si="4"/>
        <v>1.1964802456741274E-4</v>
      </c>
      <c r="C111" s="1">
        <f t="shared" si="4"/>
        <v>1.1964802456741275E-3</v>
      </c>
      <c r="D111" s="1">
        <f t="shared" si="4"/>
        <v>1.1964802456741275E-2</v>
      </c>
      <c r="E111" s="1">
        <f>(1*101300)/(287*$A111)</f>
        <v>0.11964802456741275</v>
      </c>
    </row>
    <row r="112" spans="1:5" x14ac:dyDescent="0.25">
      <c r="A112" s="1">
        <v>2975</v>
      </c>
      <c r="B112" s="1">
        <f t="shared" si="4"/>
        <v>1.1864257898281263E-4</v>
      </c>
      <c r="C112" s="1">
        <f t="shared" si="4"/>
        <v>1.1864257898281264E-3</v>
      </c>
      <c r="D112" s="1">
        <f t="shared" si="4"/>
        <v>1.1864257898281263E-2</v>
      </c>
      <c r="E112" s="1">
        <f>(1*101300)/(287*$A112)</f>
        <v>0.11864257898281264</v>
      </c>
    </row>
    <row r="113" spans="1:5" x14ac:dyDescent="0.25">
      <c r="A113" s="1">
        <v>3000</v>
      </c>
      <c r="B113" s="1">
        <f t="shared" si="4"/>
        <v>1.1765389082462253E-4</v>
      </c>
      <c r="C113" s="1">
        <f t="shared" si="4"/>
        <v>1.1765389082462254E-3</v>
      </c>
      <c r="D113" s="1">
        <f t="shared" si="4"/>
        <v>1.1765389082462253E-2</v>
      </c>
      <c r="E113" s="1">
        <f>(1*101300)/(287*$A113)</f>
        <v>0.11765389082462253</v>
      </c>
    </row>
    <row r="114" spans="1:5" x14ac:dyDescent="0.25">
      <c r="A114" s="1">
        <v>3025</v>
      </c>
      <c r="B114" s="1">
        <f t="shared" si="4"/>
        <v>1.1668154461946036E-4</v>
      </c>
      <c r="C114" s="1">
        <f t="shared" si="4"/>
        <v>1.1668154461946037E-3</v>
      </c>
      <c r="D114" s="1">
        <f t="shared" si="4"/>
        <v>1.1668154461946037E-2</v>
      </c>
      <c r="E114" s="1">
        <f>(1*101300)/(287*$A114)</f>
        <v>0.11668154461946036</v>
      </c>
    </row>
    <row r="115" spans="1:5" x14ac:dyDescent="0.25">
      <c r="A115" s="1">
        <v>3050</v>
      </c>
      <c r="B115" s="1">
        <f t="shared" si="4"/>
        <v>1.1572513851602216E-4</v>
      </c>
      <c r="C115" s="1">
        <f t="shared" si="4"/>
        <v>1.1572513851602216E-3</v>
      </c>
      <c r="D115" s="1">
        <f t="shared" si="4"/>
        <v>1.1572513851602217E-2</v>
      </c>
      <c r="E115" s="1">
        <f>(1*101300)/(287*$A115)</f>
        <v>0.11572513851602216</v>
      </c>
    </row>
    <row r="116" spans="1:5" x14ac:dyDescent="0.25">
      <c r="A116" s="1">
        <v>3075</v>
      </c>
      <c r="B116" s="1">
        <f t="shared" si="4"/>
        <v>1.1478428373133905E-4</v>
      </c>
      <c r="C116" s="1">
        <f t="shared" si="4"/>
        <v>1.1478428373133905E-3</v>
      </c>
      <c r="D116" s="1">
        <f t="shared" si="4"/>
        <v>1.1478428373133906E-2</v>
      </c>
      <c r="E116" s="1">
        <f>(1*101300)/(287*$A116)</f>
        <v>0.11478428373133906</v>
      </c>
    </row>
    <row r="117" spans="1:5" x14ac:dyDescent="0.25">
      <c r="A117" s="1">
        <v>3100</v>
      </c>
      <c r="B117" s="1">
        <f t="shared" si="4"/>
        <v>1.1385860402382825E-4</v>
      </c>
      <c r="C117" s="1">
        <f t="shared" si="4"/>
        <v>1.1385860402382826E-3</v>
      </c>
      <c r="D117" s="1">
        <f t="shared" si="4"/>
        <v>1.1385860402382826E-2</v>
      </c>
      <c r="E117" s="1">
        <f>(1*101300)/(287*$A117)</f>
        <v>0.11385860402382826</v>
      </c>
    </row>
    <row r="118" spans="1:5" x14ac:dyDescent="0.25">
      <c r="A118" s="1">
        <v>3125</v>
      </c>
      <c r="B118" s="1">
        <f t="shared" si="4"/>
        <v>1.1294773519163763E-4</v>
      </c>
      <c r="C118" s="1">
        <f t="shared" si="4"/>
        <v>1.1294773519163763E-3</v>
      </c>
      <c r="D118" s="1">
        <f t="shared" si="4"/>
        <v>1.1294773519163763E-2</v>
      </c>
      <c r="E118" s="1">
        <f>(1*101300)/(287*$A118)</f>
        <v>0.11294773519163763</v>
      </c>
    </row>
    <row r="119" spans="1:5" x14ac:dyDescent="0.25">
      <c r="A119" s="1">
        <v>3150</v>
      </c>
      <c r="B119" s="1">
        <f t="shared" si="4"/>
        <v>1.1205132459487859E-4</v>
      </c>
      <c r="C119" s="1">
        <f t="shared" si="4"/>
        <v>1.1205132459487859E-3</v>
      </c>
      <c r="D119" s="1">
        <f t="shared" si="4"/>
        <v>1.1205132459487861E-2</v>
      </c>
      <c r="E119" s="1">
        <f>(1*101300)/(287*$A119)</f>
        <v>0.1120513245948786</v>
      </c>
    </row>
    <row r="120" spans="1:5" x14ac:dyDescent="0.25">
      <c r="A120" s="1">
        <v>3175</v>
      </c>
      <c r="B120" s="1">
        <f t="shared" si="4"/>
        <v>1.1116903070043074E-4</v>
      </c>
      <c r="C120" s="1">
        <f t="shared" si="4"/>
        <v>1.1116903070043074E-3</v>
      </c>
      <c r="D120" s="1">
        <f t="shared" si="4"/>
        <v>1.1116903070043075E-2</v>
      </c>
      <c r="E120" s="1">
        <f>(1*101300)/(287*$A120)</f>
        <v>0.11116903070043074</v>
      </c>
    </row>
    <row r="121" spans="1:5" x14ac:dyDescent="0.25">
      <c r="A121" s="1">
        <v>3200</v>
      </c>
      <c r="B121" s="1">
        <f t="shared" si="4"/>
        <v>1.1030052264808362E-4</v>
      </c>
      <c r="C121" s="1">
        <f t="shared" si="4"/>
        <v>1.1030052264808363E-3</v>
      </c>
      <c r="D121" s="1">
        <f t="shared" si="4"/>
        <v>1.1030052264808363E-2</v>
      </c>
      <c r="E121" s="1">
        <f>(1*101300)/(287*$A121)</f>
        <v>0.11030052264808363</v>
      </c>
    </row>
    <row r="122" spans="1:5" x14ac:dyDescent="0.25">
      <c r="A122" s="1">
        <v>3225</v>
      </c>
      <c r="B122" s="1">
        <f t="shared" si="4"/>
        <v>1.0944547983685816E-4</v>
      </c>
      <c r="C122" s="1">
        <f t="shared" si="4"/>
        <v>1.0944547983685817E-3</v>
      </c>
      <c r="D122" s="1">
        <f t="shared" si="4"/>
        <v>1.0944547983685817E-2</v>
      </c>
      <c r="E122" s="1">
        <f>(1*101300)/(287*$A122)</f>
        <v>0.10944547983685816</v>
      </c>
    </row>
    <row r="123" spans="1:5" x14ac:dyDescent="0.25">
      <c r="A123" s="1">
        <v>3250</v>
      </c>
      <c r="B123" s="1">
        <f t="shared" si="4"/>
        <v>1.086035915304208E-4</v>
      </c>
      <c r="C123" s="1">
        <f t="shared" si="4"/>
        <v>1.086035915304208E-3</v>
      </c>
      <c r="D123" s="1">
        <f t="shared" si="4"/>
        <v>1.0860359153042081E-2</v>
      </c>
      <c r="E123" s="1">
        <f>(1*101300)/(287*$A123)</f>
        <v>0.1086035915304208</v>
      </c>
    </row>
    <row r="124" spans="1:5" x14ac:dyDescent="0.25">
      <c r="A124" s="1">
        <v>3275</v>
      </c>
      <c r="B124" s="1">
        <f t="shared" si="4"/>
        <v>1.0777455648057026E-4</v>
      </c>
      <c r="C124" s="1">
        <f t="shared" si="4"/>
        <v>1.0777455648057026E-3</v>
      </c>
      <c r="D124" s="1">
        <f t="shared" si="4"/>
        <v>1.0777455648057026E-2</v>
      </c>
      <c r="E124" s="1">
        <f>(1*101300)/(287*$A124)</f>
        <v>0.10777455648057026</v>
      </c>
    </row>
    <row r="125" spans="1:5" x14ac:dyDescent="0.25">
      <c r="A125" s="1">
        <v>3300</v>
      </c>
      <c r="B125" s="1">
        <f t="shared" si="4"/>
        <v>1.0695808256783866E-4</v>
      </c>
      <c r="C125" s="1">
        <f t="shared" si="4"/>
        <v>1.0695808256783867E-3</v>
      </c>
      <c r="D125" s="1">
        <f t="shared" si="4"/>
        <v>1.0695808256783866E-2</v>
      </c>
      <c r="E125" s="1">
        <f>(1*101300)/(287*$A125)</f>
        <v>0.10695808256783866</v>
      </c>
    </row>
    <row r="126" spans="1:5" x14ac:dyDescent="0.25">
      <c r="A126" s="1">
        <v>3325</v>
      </c>
      <c r="B126" s="1">
        <f t="shared" si="4"/>
        <v>1.0615388645830604E-4</v>
      </c>
      <c r="C126" s="1">
        <f t="shared" si="4"/>
        <v>1.0615388645830604E-3</v>
      </c>
      <c r="D126" s="1">
        <f t="shared" si="4"/>
        <v>1.0615388645830604E-2</v>
      </c>
      <c r="E126" s="1">
        <f>(1*101300)/(287*$A126)</f>
        <v>0.10615388645830605</v>
      </c>
    </row>
    <row r="127" spans="1:5" x14ac:dyDescent="0.25">
      <c r="A127" s="1">
        <v>3350</v>
      </c>
      <c r="B127" s="1">
        <f t="shared" si="4"/>
        <v>1.0536169327578137E-4</v>
      </c>
      <c r="C127" s="1">
        <f t="shared" si="4"/>
        <v>1.0536169327578138E-3</v>
      </c>
      <c r="D127" s="1">
        <f t="shared" si="4"/>
        <v>1.0536169327578138E-2</v>
      </c>
      <c r="E127" s="1">
        <f>(1*101300)/(287*$A127)</f>
        <v>0.10536169327578138</v>
      </c>
    </row>
    <row r="128" spans="1:5" x14ac:dyDescent="0.25">
      <c r="A128" s="1">
        <v>3375</v>
      </c>
      <c r="B128" s="1">
        <f t="shared" si="4"/>
        <v>1.0458123628855336E-4</v>
      </c>
      <c r="C128" s="1">
        <f t="shared" si="4"/>
        <v>1.0458123628855336E-3</v>
      </c>
      <c r="D128" s="1">
        <f t="shared" si="4"/>
        <v>1.0458123628855336E-2</v>
      </c>
      <c r="E128" s="1">
        <f>(1*101300)/(287*$A128)</f>
        <v>0.10458123628855336</v>
      </c>
    </row>
    <row r="129" spans="1:5" x14ac:dyDescent="0.25">
      <c r="A129" s="1">
        <v>3400</v>
      </c>
      <c r="B129" s="1">
        <f t="shared" si="4"/>
        <v>1.0381225660996105E-4</v>
      </c>
      <c r="C129" s="1">
        <f t="shared" si="4"/>
        <v>1.0381225660996106E-3</v>
      </c>
      <c r="D129" s="1">
        <f t="shared" si="4"/>
        <v>1.0381225660996106E-2</v>
      </c>
      <c r="E129" s="1">
        <f>(1*101300)/(287*$A129)</f>
        <v>0.10381225660996106</v>
      </c>
    </row>
    <row r="130" spans="1:5" x14ac:dyDescent="0.25">
      <c r="A130" s="1">
        <v>3425</v>
      </c>
      <c r="B130" s="1">
        <f t="shared" si="4"/>
        <v>1.0305450291207813E-4</v>
      </c>
      <c r="C130" s="1">
        <f t="shared" si="4"/>
        <v>1.0305450291207812E-3</v>
      </c>
      <c r="D130" s="1">
        <f t="shared" si="4"/>
        <v>1.0305450291207814E-2</v>
      </c>
      <c r="E130" s="1">
        <f>(1*101300)/(287*$A130)</f>
        <v>0.10305450291207813</v>
      </c>
    </row>
    <row r="131" spans="1:5" x14ac:dyDescent="0.25">
      <c r="A131" s="1">
        <v>3450</v>
      </c>
      <c r="B131" s="1">
        <f t="shared" si="4"/>
        <v>1.0230773115184567E-4</v>
      </c>
      <c r="C131" s="1">
        <f t="shared" si="4"/>
        <v>1.0230773115184567E-3</v>
      </c>
      <c r="D131" s="1">
        <f t="shared" si="4"/>
        <v>1.0230773115184569E-2</v>
      </c>
      <c r="E131" s="1">
        <f>(1*101300)/(287*$A131)</f>
        <v>0.10230773115184567</v>
      </c>
    </row>
    <row r="132" spans="1:5" x14ac:dyDescent="0.25">
      <c r="A132" s="1">
        <v>3475</v>
      </c>
      <c r="B132" s="1">
        <f t="shared" ref="B132:D153" si="5">(B$2*101300)/(287*$A132)</f>
        <v>1.0157170430902665E-4</v>
      </c>
      <c r="C132" s="1">
        <f t="shared" si="5"/>
        <v>1.0157170430902666E-3</v>
      </c>
      <c r="D132" s="1">
        <f t="shared" si="5"/>
        <v>1.0157170430902664E-2</v>
      </c>
      <c r="E132" s="1">
        <f>(1*101300)/(287*$A132)</f>
        <v>0.10157170430902665</v>
      </c>
    </row>
    <row r="133" spans="1:5" x14ac:dyDescent="0.25">
      <c r="A133" s="1">
        <v>3500</v>
      </c>
      <c r="B133" s="1">
        <f t="shared" si="5"/>
        <v>1.0084619213539074E-4</v>
      </c>
      <c r="C133" s="1">
        <f t="shared" si="5"/>
        <v>1.0084619213539074E-3</v>
      </c>
      <c r="D133" s="1">
        <f t="shared" si="5"/>
        <v>1.0084619213539075E-2</v>
      </c>
      <c r="E133" s="1">
        <f>(1*101300)/(287*$A133)</f>
        <v>0.10084619213539074</v>
      </c>
    </row>
    <row r="134" spans="1:5" x14ac:dyDescent="0.25">
      <c r="A134" s="1">
        <v>3525</v>
      </c>
      <c r="B134" s="1">
        <f t="shared" si="5"/>
        <v>1.0013097091457236E-4</v>
      </c>
      <c r="C134" s="1">
        <f t="shared" si="5"/>
        <v>1.0013097091457236E-3</v>
      </c>
      <c r="D134" s="1">
        <f t="shared" si="5"/>
        <v>1.0013097091457236E-2</v>
      </c>
      <c r="E134" s="1">
        <f>(1*101300)/(287*$A134)</f>
        <v>0.10013097091457236</v>
      </c>
    </row>
    <row r="135" spans="1:5" x14ac:dyDescent="0.25">
      <c r="A135" s="1">
        <v>3550</v>
      </c>
      <c r="B135" s="1">
        <f t="shared" si="5"/>
        <v>9.9425823232075381E-5</v>
      </c>
      <c r="C135" s="1">
        <f t="shared" si="5"/>
        <v>9.9425823232075381E-4</v>
      </c>
      <c r="D135" s="1">
        <f t="shared" si="5"/>
        <v>9.9425823232075373E-3</v>
      </c>
      <c r="E135" s="1">
        <f>(1*101300)/(287*$A135)</f>
        <v>9.9425823232075383E-2</v>
      </c>
    </row>
    <row r="136" spans="1:5" x14ac:dyDescent="0.25">
      <c r="A136" s="1">
        <v>3575</v>
      </c>
      <c r="B136" s="1">
        <f t="shared" si="5"/>
        <v>9.8730537754928001E-5</v>
      </c>
      <c r="C136" s="1">
        <f t="shared" si="5"/>
        <v>9.8730537754927999E-4</v>
      </c>
      <c r="D136" s="1">
        <f t="shared" si="5"/>
        <v>9.8730537754927999E-3</v>
      </c>
      <c r="E136" s="1">
        <f>(1*101300)/(287*$A136)</f>
        <v>9.8730537754928002E-2</v>
      </c>
    </row>
    <row r="137" spans="1:5" x14ac:dyDescent="0.25">
      <c r="A137" s="1">
        <v>3600</v>
      </c>
      <c r="B137" s="1">
        <f t="shared" si="5"/>
        <v>9.8044909020518768E-5</v>
      </c>
      <c r="C137" s="1">
        <f t="shared" si="5"/>
        <v>9.8044909020518771E-4</v>
      </c>
      <c r="D137" s="1">
        <f t="shared" si="5"/>
        <v>9.8044909020518784E-3</v>
      </c>
      <c r="E137" s="1">
        <f>(1*101300)/(287*$A137)</f>
        <v>9.8044909020518781E-2</v>
      </c>
    </row>
    <row r="138" spans="1:5" x14ac:dyDescent="0.25">
      <c r="A138" s="1">
        <v>3625</v>
      </c>
      <c r="B138" s="1">
        <f t="shared" si="5"/>
        <v>9.7368737234170366E-5</v>
      </c>
      <c r="C138" s="1">
        <f t="shared" si="5"/>
        <v>9.7368737234170368E-4</v>
      </c>
      <c r="D138" s="1">
        <f t="shared" si="5"/>
        <v>9.7368737234170364E-3</v>
      </c>
      <c r="E138" s="1">
        <f>(1*101300)/(287*$A138)</f>
        <v>9.7368737234170374E-2</v>
      </c>
    </row>
    <row r="139" spans="1:5" x14ac:dyDescent="0.25">
      <c r="A139" s="1">
        <v>3650</v>
      </c>
      <c r="B139" s="1">
        <f t="shared" si="5"/>
        <v>9.6701828075032218E-5</v>
      </c>
      <c r="C139" s="1">
        <f t="shared" si="5"/>
        <v>9.6701828075032223E-4</v>
      </c>
      <c r="D139" s="1">
        <f t="shared" si="5"/>
        <v>9.6701828075032217E-3</v>
      </c>
      <c r="E139" s="1">
        <f>(1*101300)/(287*$A139)</f>
        <v>9.670182807503222E-2</v>
      </c>
    </row>
    <row r="140" spans="1:5" x14ac:dyDescent="0.25">
      <c r="A140" s="1">
        <v>3675</v>
      </c>
      <c r="B140" s="1">
        <f t="shared" si="5"/>
        <v>9.604399250989594E-5</v>
      </c>
      <c r="C140" s="1">
        <f t="shared" si="5"/>
        <v>9.6043992509895946E-4</v>
      </c>
      <c r="D140" s="1">
        <f t="shared" si="5"/>
        <v>9.604399250989595E-3</v>
      </c>
      <c r="E140" s="1">
        <f>(1*101300)/(287*$A140)</f>
        <v>9.604399250989594E-2</v>
      </c>
    </row>
    <row r="141" spans="1:5" x14ac:dyDescent="0.25">
      <c r="A141" s="1">
        <v>3700</v>
      </c>
      <c r="B141" s="1">
        <f t="shared" si="5"/>
        <v>9.5395046614558802E-5</v>
      </c>
      <c r="C141" s="1">
        <f t="shared" si="5"/>
        <v>9.5395046614558813E-4</v>
      </c>
      <c r="D141" s="1">
        <f t="shared" si="5"/>
        <v>9.5395046614558804E-3</v>
      </c>
      <c r="E141" s="1">
        <f>(1*101300)/(287*$A141)</f>
        <v>9.5395046614558804E-2</v>
      </c>
    </row>
    <row r="142" spans="1:5" x14ac:dyDescent="0.25">
      <c r="A142" s="1">
        <v>3725</v>
      </c>
      <c r="B142" s="1">
        <f t="shared" si="5"/>
        <v>9.4754811402380555E-5</v>
      </c>
      <c r="C142" s="1">
        <f t="shared" si="5"/>
        <v>9.4754811402380558E-4</v>
      </c>
      <c r="D142" s="1">
        <f t="shared" si="5"/>
        <v>9.4754811402380564E-3</v>
      </c>
      <c r="E142" s="1">
        <f>(1*101300)/(287*$A142)</f>
        <v>9.4754811402380568E-2</v>
      </c>
    </row>
    <row r="143" spans="1:5" x14ac:dyDescent="0.25">
      <c r="A143" s="1">
        <v>3750</v>
      </c>
      <c r="B143" s="1">
        <f t="shared" si="5"/>
        <v>9.4123112659698024E-5</v>
      </c>
      <c r="C143" s="1">
        <f t="shared" si="5"/>
        <v>9.4123112659698024E-4</v>
      </c>
      <c r="D143" s="1">
        <f t="shared" si="5"/>
        <v>9.4123112659698031E-3</v>
      </c>
      <c r="E143" s="1">
        <f>(1*101300)/(287*$A143)</f>
        <v>9.4123112659698027E-2</v>
      </c>
    </row>
    <row r="144" spans="1:5" x14ac:dyDescent="0.25">
      <c r="A144" s="1">
        <v>3775</v>
      </c>
      <c r="B144" s="1">
        <f t="shared" si="5"/>
        <v>9.349978078777949E-5</v>
      </c>
      <c r="C144" s="1">
        <f t="shared" si="5"/>
        <v>9.3499780787779496E-4</v>
      </c>
      <c r="D144" s="1">
        <f t="shared" si="5"/>
        <v>9.3499780787779496E-3</v>
      </c>
      <c r="E144" s="1">
        <f>(1*101300)/(287*$A144)</f>
        <v>9.3499780787779499E-2</v>
      </c>
    </row>
    <row r="145" spans="1:5" x14ac:dyDescent="0.25">
      <c r="A145" s="1">
        <v>3800</v>
      </c>
      <c r="B145" s="1">
        <f t="shared" si="5"/>
        <v>9.2884650651017792E-5</v>
      </c>
      <c r="C145" s="1">
        <f t="shared" si="5"/>
        <v>9.2884650651017787E-4</v>
      </c>
      <c r="D145" s="1">
        <f t="shared" si="5"/>
        <v>9.2884650651017791E-3</v>
      </c>
      <c r="E145" s="1">
        <f>(1*101300)/(287*$A145)</f>
        <v>9.2884650651017794E-2</v>
      </c>
    </row>
    <row r="146" spans="1:5" x14ac:dyDescent="0.25">
      <c r="A146" s="1">
        <v>3825</v>
      </c>
      <c r="B146" s="1">
        <f t="shared" si="5"/>
        <v>9.2277561431076499E-5</v>
      </c>
      <c r="C146" s="1">
        <f t="shared" si="5"/>
        <v>9.2277561431076494E-4</v>
      </c>
      <c r="D146" s="1">
        <f t="shared" si="5"/>
        <v>9.2277561431076491E-3</v>
      </c>
      <c r="E146" s="1">
        <f>(1*101300)/(287*$A146)</f>
        <v>9.2277561431076502E-2</v>
      </c>
    </row>
    <row r="147" spans="1:5" x14ac:dyDescent="0.25">
      <c r="A147" s="1">
        <v>3850</v>
      </c>
      <c r="B147" s="1">
        <f t="shared" si="5"/>
        <v>9.1678356486718859E-5</v>
      </c>
      <c r="C147" s="1">
        <f t="shared" si="5"/>
        <v>9.1678356486718851E-4</v>
      </c>
      <c r="D147" s="1">
        <f t="shared" si="5"/>
        <v>9.1678356486718862E-3</v>
      </c>
      <c r="E147" s="1">
        <f>(1*101300)/(287*$A147)</f>
        <v>9.1678356486718862E-2</v>
      </c>
    </row>
    <row r="148" spans="1:5" x14ac:dyDescent="0.25">
      <c r="A148" s="1">
        <v>3875</v>
      </c>
      <c r="B148" s="1">
        <f t="shared" si="5"/>
        <v>9.1086883219062599E-5</v>
      </c>
      <c r="C148" s="1">
        <f t="shared" si="5"/>
        <v>9.108688321906261E-4</v>
      </c>
      <c r="D148" s="1">
        <f t="shared" si="5"/>
        <v>9.1086883219062605E-3</v>
      </c>
      <c r="E148" s="1">
        <f>(1*101300)/(287*$A148)</f>
        <v>9.1086883219062609E-2</v>
      </c>
    </row>
    <row r="149" spans="1:5" x14ac:dyDescent="0.25">
      <c r="A149" s="1">
        <v>3900</v>
      </c>
      <c r="B149" s="1">
        <f t="shared" si="5"/>
        <v>9.0502992942017327E-5</v>
      </c>
      <c r="C149" s="1">
        <f t="shared" si="5"/>
        <v>9.0502992942017332E-4</v>
      </c>
      <c r="D149" s="1">
        <f t="shared" si="5"/>
        <v>9.0502992942017337E-3</v>
      </c>
      <c r="E149" s="1">
        <f>(1*101300)/(287*$A149)</f>
        <v>9.050299294201733E-2</v>
      </c>
    </row>
    <row r="150" spans="1:5" x14ac:dyDescent="0.25">
      <c r="A150" s="1">
        <v>3925</v>
      </c>
      <c r="B150" s="1">
        <f t="shared" si="5"/>
        <v>8.9926540757673265E-5</v>
      </c>
      <c r="C150" s="1">
        <f t="shared" si="5"/>
        <v>8.9926540757673268E-4</v>
      </c>
      <c r="D150" s="1">
        <f t="shared" si="5"/>
        <v>8.9926540757673274E-3</v>
      </c>
      <c r="E150" s="1">
        <f>(1*101300)/(287*$A150)</f>
        <v>8.9926540757673271E-2</v>
      </c>
    </row>
    <row r="151" spans="1:5" x14ac:dyDescent="0.25">
      <c r="A151" s="1">
        <v>3950</v>
      </c>
      <c r="B151" s="1">
        <f t="shared" si="5"/>
        <v>8.9357385436422178E-5</v>
      </c>
      <c r="C151" s="1">
        <f t="shared" si="5"/>
        <v>8.9357385436422178E-4</v>
      </c>
      <c r="D151" s="1">
        <f t="shared" si="5"/>
        <v>8.9357385436422184E-3</v>
      </c>
      <c r="E151" s="1">
        <f>(1*101300)/(287*$A151)</f>
        <v>8.9357385436422174E-2</v>
      </c>
    </row>
    <row r="152" spans="1:5" x14ac:dyDescent="0.25">
      <c r="A152" s="1">
        <v>3975</v>
      </c>
      <c r="B152" s="1">
        <f t="shared" si="5"/>
        <v>8.8795389301601907E-5</v>
      </c>
      <c r="C152" s="1">
        <f t="shared" si="5"/>
        <v>8.8795389301601912E-4</v>
      </c>
      <c r="D152" s="1">
        <f t="shared" si="5"/>
        <v>8.8795389301601912E-3</v>
      </c>
      <c r="E152" s="1">
        <f>(1*101300)/(287*$A152)</f>
        <v>8.8795389301601912E-2</v>
      </c>
    </row>
    <row r="153" spans="1:5" x14ac:dyDescent="0.25">
      <c r="A153" s="1">
        <v>4000</v>
      </c>
      <c r="B153" s="1">
        <f t="shared" si="5"/>
        <v>8.8240418118466901E-5</v>
      </c>
      <c r="C153" s="1">
        <f t="shared" si="5"/>
        <v>8.8240418118466898E-4</v>
      </c>
      <c r="D153" s="1">
        <f t="shared" si="5"/>
        <v>8.8240418118466901E-3</v>
      </c>
      <c r="E153" s="1">
        <f>(1*101300)/(287*$A153)</f>
        <v>8.8240418118466904E-2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7E69-4ED0-4095-91ED-7A02A06BBAF8}">
  <dimension ref="A1:E153"/>
  <sheetViews>
    <sheetView zoomScale="85" zoomScaleNormal="85" workbookViewId="0">
      <selection activeCell="C20" sqref="C20:E49"/>
    </sheetView>
  </sheetViews>
  <sheetFormatPr defaultRowHeight="15" x14ac:dyDescent="0.25"/>
  <cols>
    <col min="1" max="1" width="11.85546875" bestFit="1" customWidth="1"/>
    <col min="2" max="2" width="22.85546875" bestFit="1" customWidth="1"/>
    <col min="3" max="3" width="21.85546875" bestFit="1" customWidth="1"/>
    <col min="4" max="4" width="20.42578125" bestFit="1" customWidth="1"/>
    <col min="5" max="5" width="18.42578125" bestFit="1" customWidth="1"/>
  </cols>
  <sheetData>
    <row r="1" spans="1:5" x14ac:dyDescent="0.25">
      <c r="B1" s="2" t="s">
        <v>13</v>
      </c>
      <c r="C1" s="2"/>
      <c r="D1" s="2"/>
      <c r="E1" s="2"/>
    </row>
    <row r="2" spans="1:5" x14ac:dyDescent="0.25">
      <c r="A2" s="2" t="s">
        <v>12</v>
      </c>
      <c r="B2" s="2">
        <v>1E-3</v>
      </c>
      <c r="C2" s="2">
        <v>0.01</v>
      </c>
      <c r="D2" s="2">
        <v>0.1</v>
      </c>
      <c r="E2" s="2">
        <v>1</v>
      </c>
    </row>
    <row r="3" spans="1:5" x14ac:dyDescent="0.25">
      <c r="A3" s="1">
        <v>250</v>
      </c>
      <c r="B3" s="1">
        <f>Air_enthalpy!B3-287*$A3</f>
        <v>-2752735.5233</v>
      </c>
      <c r="C3" s="1">
        <f>Air_enthalpy!C3-287*$A3</f>
        <v>-2752735.5233</v>
      </c>
      <c r="D3" s="1">
        <f>Air_enthalpy!D3-287*$A3</f>
        <v>-2752735.5233</v>
      </c>
      <c r="E3" s="1">
        <f>Air_enthalpy!E3-287*$A3</f>
        <v>-2752735.5233</v>
      </c>
    </row>
    <row r="4" spans="1:5" x14ac:dyDescent="0.25">
      <c r="A4" s="1">
        <v>275</v>
      </c>
      <c r="B4" s="1">
        <f>Air_enthalpy!B4-287*$A4</f>
        <v>-2735652.0211</v>
      </c>
      <c r="C4" s="1">
        <f>Air_enthalpy!C4-287*$A4</f>
        <v>-2735652.0211999998</v>
      </c>
      <c r="D4" s="1">
        <f>Air_enthalpy!D4-287*$A4</f>
        <v>-2735652.0211999998</v>
      </c>
      <c r="E4" s="1">
        <f>Air_enthalpy!E4-287*$A4</f>
        <v>-2735652.0211999998</v>
      </c>
    </row>
    <row r="5" spans="1:5" x14ac:dyDescent="0.25">
      <c r="A5" s="1">
        <v>300</v>
      </c>
      <c r="B5" s="1">
        <f>Air_enthalpy!B5-287*$A5</f>
        <v>-2718363.5838000001</v>
      </c>
      <c r="C5" s="1">
        <f>Air_enthalpy!C5-287*$A5</f>
        <v>-2718363.585</v>
      </c>
      <c r="D5" s="1">
        <f>Air_enthalpy!D5-287*$A5</f>
        <v>-2718363.5854000002</v>
      </c>
      <c r="E5" s="1">
        <f>Air_enthalpy!E5-287*$A5</f>
        <v>-2718363.5855</v>
      </c>
    </row>
    <row r="6" spans="1:5" x14ac:dyDescent="0.25">
      <c r="A6" s="1">
        <v>325</v>
      </c>
      <c r="B6" s="1">
        <f>Air_enthalpy!B6-287*$A6</f>
        <v>-2700876.5087000001</v>
      </c>
      <c r="C6" s="1">
        <f>Air_enthalpy!C6-287*$A6</f>
        <v>-2700876.5260999999</v>
      </c>
      <c r="D6" s="1">
        <f>Air_enthalpy!D6-287*$A6</f>
        <v>-2700876.5315999999</v>
      </c>
      <c r="E6" s="1">
        <f>Air_enthalpy!E6-287*$A6</f>
        <v>-2700876.5334000001</v>
      </c>
    </row>
    <row r="7" spans="1:5" x14ac:dyDescent="0.25">
      <c r="A7" s="1">
        <v>350</v>
      </c>
      <c r="B7" s="1">
        <f>Air_enthalpy!B7-287*$A7</f>
        <v>-2683195.7103000004</v>
      </c>
      <c r="C7" s="1">
        <f>Air_enthalpy!C7-287*$A7</f>
        <v>-2683195.8816</v>
      </c>
      <c r="D7" s="1">
        <f>Air_enthalpy!D7-287*$A7</f>
        <v>-2683195.9358000001</v>
      </c>
      <c r="E7" s="1">
        <f>Air_enthalpy!E7-287*$A7</f>
        <v>-2683195.9530000002</v>
      </c>
    </row>
    <row r="8" spans="1:5" x14ac:dyDescent="0.25">
      <c r="A8" s="1">
        <v>375</v>
      </c>
      <c r="B8" s="1">
        <f>Air_enthalpy!B8-287*$A8</f>
        <v>-2665323.3611999997</v>
      </c>
      <c r="C8" s="1">
        <f>Air_enthalpy!C8-287*$A8</f>
        <v>-2665324.6064999998</v>
      </c>
      <c r="D8" s="1">
        <f>Air_enthalpy!D8-287*$A8</f>
        <v>-2665325.0003</v>
      </c>
      <c r="E8" s="1">
        <f>Air_enthalpy!E8-287*$A8</f>
        <v>-2665325.1249000002</v>
      </c>
    </row>
    <row r="9" spans="1:5" x14ac:dyDescent="0.25">
      <c r="A9" s="1">
        <v>400</v>
      </c>
      <c r="B9" s="1">
        <f>Air_enthalpy!B9-287*$A9</f>
        <v>-2647255.4813000001</v>
      </c>
      <c r="C9" s="1">
        <f>Air_enthalpy!C9-287*$A9</f>
        <v>-2647262.5574000003</v>
      </c>
      <c r="D9" s="1">
        <f>Air_enthalpy!D9-287*$A9</f>
        <v>-2647264.7949999999</v>
      </c>
      <c r="E9" s="1">
        <f>Air_enthalpy!E9-287*$A9</f>
        <v>-2647265.5027000001</v>
      </c>
    </row>
    <row r="10" spans="1:5" x14ac:dyDescent="0.25">
      <c r="A10" s="1">
        <v>425</v>
      </c>
      <c r="B10" s="1">
        <f>Air_enthalpy!B10-287*$A10</f>
        <v>-2628970.1867</v>
      </c>
      <c r="C10" s="1">
        <f>Air_enthalpy!C10-287*$A10</f>
        <v>-2629003.0003</v>
      </c>
      <c r="D10" s="1">
        <f>Air_enthalpy!D10-287*$A10</f>
        <v>-2629013.3771000002</v>
      </c>
      <c r="E10" s="1">
        <f>Air_enthalpy!E10-287*$A10</f>
        <v>-2629016.6584999999</v>
      </c>
    </row>
    <row r="11" spans="1:5" x14ac:dyDescent="0.25">
      <c r="A11" s="1">
        <v>450</v>
      </c>
      <c r="B11" s="1">
        <f>Air_enthalpy!B11-287*$A11</f>
        <v>-2610393.7187999999</v>
      </c>
      <c r="C11" s="1">
        <f>Air_enthalpy!C11-287*$A11</f>
        <v>-2610522.1294999998</v>
      </c>
      <c r="D11" s="1">
        <f>Air_enthalpy!D11-287*$A11</f>
        <v>-2610562.7388000004</v>
      </c>
      <c r="E11" s="1">
        <f>Air_enthalpy!E11-287*$A11</f>
        <v>-2610575.5808999999</v>
      </c>
    </row>
    <row r="12" spans="1:5" x14ac:dyDescent="0.25">
      <c r="A12" s="1">
        <v>475</v>
      </c>
      <c r="B12" s="1">
        <f>Air_enthalpy!B12-287*$A12</f>
        <v>-2591317.7201</v>
      </c>
      <c r="C12" s="1">
        <f>Air_enthalpy!C12-287*$A12</f>
        <v>-2591753.1381000001</v>
      </c>
      <c r="D12" s="1">
        <f>Air_enthalpy!D12-287*$A12</f>
        <v>-2591890.8567999997</v>
      </c>
      <c r="E12" s="1">
        <f>Air_enthalpy!E12-287*$A12</f>
        <v>-2591934.4099000003</v>
      </c>
    </row>
    <row r="13" spans="1:5" x14ac:dyDescent="0.25">
      <c r="A13" s="1">
        <v>500</v>
      </c>
      <c r="B13" s="1">
        <f>Air_enthalpy!B13-287*$A13</f>
        <v>-2571224.6022999999</v>
      </c>
      <c r="C13" s="1">
        <f>Air_enthalpy!C13-287*$A13</f>
        <v>-2572531.0659000003</v>
      </c>
      <c r="D13" s="1">
        <f>Air_enthalpy!D13-287*$A13</f>
        <v>-2572944.4521999997</v>
      </c>
      <c r="E13" s="1">
        <f>Air_enthalpy!E13-287*$A13</f>
        <v>-2573075.2011000002</v>
      </c>
    </row>
    <row r="14" spans="1:5" x14ac:dyDescent="0.25">
      <c r="A14" s="1">
        <v>525</v>
      </c>
      <c r="B14" s="1">
        <f>Air_enthalpy!B14-287*$A14</f>
        <v>-2548961.8658000003</v>
      </c>
      <c r="C14" s="1">
        <f>Air_enthalpy!C14-287*$A14</f>
        <v>-2552489.0781</v>
      </c>
      <c r="D14" s="1">
        <f>Air_enthalpy!D14-287*$A14</f>
        <v>-2553606.2801999999</v>
      </c>
      <c r="E14" s="1">
        <f>Air_enthalpy!E14-287*$A14</f>
        <v>-2553959.7505000001</v>
      </c>
    </row>
    <row r="15" spans="1:5" x14ac:dyDescent="0.25">
      <c r="A15" s="1">
        <v>550</v>
      </c>
      <c r="B15" s="1">
        <f>Air_enthalpy!B15-287*$A15</f>
        <v>-2522201.9915</v>
      </c>
      <c r="C15" s="1">
        <f>Air_enthalpy!C15-287*$A15</f>
        <v>-2530883.1763999998</v>
      </c>
      <c r="D15" s="1">
        <f>Air_enthalpy!D15-287*$A15</f>
        <v>-2533639.3749000002</v>
      </c>
      <c r="E15" s="1">
        <f>Air_enthalpy!E15-287*$A15</f>
        <v>-2534512.0590000004</v>
      </c>
    </row>
    <row r="16" spans="1:5" x14ac:dyDescent="0.25">
      <c r="A16" s="1">
        <v>575</v>
      </c>
      <c r="B16" s="1">
        <f>Air_enthalpy!B16-287*$A16</f>
        <v>-2486657.6052000001</v>
      </c>
      <c r="C16" s="1">
        <f>Air_enthalpy!C16-287*$A16</f>
        <v>-2506324.2580999997</v>
      </c>
      <c r="D16" s="1">
        <f>Air_enthalpy!D16-287*$A16</f>
        <v>-2512600.4342999998</v>
      </c>
      <c r="E16" s="1">
        <f>Air_enthalpy!E16-287*$A16</f>
        <v>-2514590.85</v>
      </c>
    </row>
    <row r="17" spans="1:5" x14ac:dyDescent="0.25">
      <c r="A17" s="1">
        <v>600</v>
      </c>
      <c r="B17" s="1">
        <f>Air_enthalpy!B17-287*$A17</f>
        <v>-2435150.0189999999</v>
      </c>
      <c r="C17" s="1">
        <f>Air_enthalpy!C17-287*$A17</f>
        <v>-2476410.6907000002</v>
      </c>
      <c r="D17" s="1">
        <f>Air_enthalpy!D17-287*$A17</f>
        <v>-2489716.3453000002</v>
      </c>
      <c r="E17" s="1">
        <f>Air_enthalpy!E17-287*$A17</f>
        <v>-2493949.8641000004</v>
      </c>
    </row>
    <row r="18" spans="1:5" x14ac:dyDescent="0.25">
      <c r="A18" s="1">
        <v>625</v>
      </c>
      <c r="B18" s="1">
        <f>Air_enthalpy!B18-287*$A18</f>
        <v>-2356970.8662</v>
      </c>
      <c r="C18" s="1">
        <f>Air_enthalpy!C18-287*$A18</f>
        <v>-2437294.1163999997</v>
      </c>
      <c r="D18" s="1">
        <f>Air_enthalpy!D18-287*$A18</f>
        <v>-2463723.1546</v>
      </c>
      <c r="E18" s="1">
        <f>Air_enthalpy!E18-287*$A18</f>
        <v>-2472184.5982999997</v>
      </c>
    </row>
    <row r="19" spans="1:5" x14ac:dyDescent="0.25">
      <c r="A19" s="1">
        <v>650</v>
      </c>
      <c r="B19" s="1">
        <f>Air_enthalpy!B19-287*$A19</f>
        <v>-2238707.9778999998</v>
      </c>
      <c r="C19" s="1">
        <f>Air_enthalpy!C19-287*$A19</f>
        <v>-2383299.3817999996</v>
      </c>
      <c r="D19" s="1">
        <f>Air_enthalpy!D19-287*$A19</f>
        <v>-2432677.9165000003</v>
      </c>
      <c r="E19" s="1">
        <f>Air_enthalpy!E19-287*$A19</f>
        <v>-2448665.9458000003</v>
      </c>
    </row>
    <row r="20" spans="1:5" x14ac:dyDescent="0.25">
      <c r="A20" s="1">
        <v>675</v>
      </c>
      <c r="B20" s="1">
        <f>Air_enthalpy!B20-287*$A20</f>
        <v>-2068829.9887999999</v>
      </c>
      <c r="C20" s="1">
        <f>Air_enthalpy!C20-287*$A20</f>
        <v>-2306890.4173000003</v>
      </c>
      <c r="D20" s="1">
        <f>Air_enthalpy!D20-287*$A20</f>
        <v>-2393774.6488000001</v>
      </c>
      <c r="E20" s="1">
        <f>Air_enthalpy!E20-287*$A20</f>
        <v>-2422464.1382999998</v>
      </c>
    </row>
    <row r="21" spans="1:5" x14ac:dyDescent="0.25">
      <c r="A21" s="1">
        <v>700</v>
      </c>
      <c r="B21" s="1">
        <f>Air_enthalpy!B21-287*$A21</f>
        <v>-1848479.9646999999</v>
      </c>
      <c r="C21" s="1">
        <f>Air_enthalpy!C21-287*$A21</f>
        <v>-2199551.7252000002</v>
      </c>
      <c r="D21" s="1">
        <f>Air_enthalpy!D21-287*$A21</f>
        <v>-2343231.4218000001</v>
      </c>
      <c r="E21" s="1">
        <f>Air_enthalpy!E21-287*$A21</f>
        <v>-2392270.9813999999</v>
      </c>
    </row>
    <row r="22" spans="1:5" x14ac:dyDescent="0.25">
      <c r="A22" s="1">
        <v>725</v>
      </c>
      <c r="B22" s="1">
        <f>Air_enthalpy!B22-287*$A22</f>
        <v>-1604770.5960000001</v>
      </c>
      <c r="C22" s="1">
        <f>Air_enthalpy!C22-287*$A22</f>
        <v>-2054454.7156</v>
      </c>
      <c r="D22" s="1">
        <f>Air_enthalpy!D22-287*$A22</f>
        <v>-2276371.4700000002</v>
      </c>
      <c r="E22" s="1">
        <f>Air_enthalpy!E22-287*$A22</f>
        <v>-2356335.2744999998</v>
      </c>
    </row>
    <row r="23" spans="1:5" x14ac:dyDescent="0.25">
      <c r="A23" s="1">
        <v>750</v>
      </c>
      <c r="B23" s="1">
        <f>Air_enthalpy!B23-287*$A23</f>
        <v>-1386792.4069999999</v>
      </c>
      <c r="C23" s="1">
        <f>Air_enthalpy!C23-287*$A23</f>
        <v>-1871596.9053</v>
      </c>
      <c r="D23" s="1">
        <f>Air_enthalpy!D23-287*$A23</f>
        <v>-2188095.0187999997</v>
      </c>
      <c r="E23" s="1">
        <f>Air_enthalpy!E23-287*$A23</f>
        <v>-2312436.1709999996</v>
      </c>
    </row>
    <row r="24" spans="1:5" x14ac:dyDescent="0.25">
      <c r="A24" s="1">
        <v>775</v>
      </c>
      <c r="B24" s="1">
        <f>Air_enthalpy!B24-287*$A24</f>
        <v>-1230416.3569</v>
      </c>
      <c r="C24" s="1">
        <f>Air_enthalpy!C24-287*$A24</f>
        <v>-1664061.8381000001</v>
      </c>
      <c r="D24" s="1">
        <f>Air_enthalpy!D24-287*$A24</f>
        <v>-2074000.7315999998</v>
      </c>
      <c r="E24" s="1">
        <f>Air_enthalpy!E24-287*$A24</f>
        <v>-2257932.2585</v>
      </c>
    </row>
    <row r="25" spans="1:5" x14ac:dyDescent="0.25">
      <c r="A25" s="1">
        <v>800</v>
      </c>
      <c r="B25" s="1">
        <f>Air_enthalpy!B25-287*$A25</f>
        <v>-1133615.9832199998</v>
      </c>
      <c r="C25" s="1">
        <f>Air_enthalpy!C25-287*$A25</f>
        <v>-1459146.3674000001</v>
      </c>
      <c r="D25" s="1">
        <f>Air_enthalpy!D25-287*$A25</f>
        <v>-1932362.2859</v>
      </c>
      <c r="E25" s="1">
        <f>Air_enthalpy!E25-287*$A25</f>
        <v>-2189938.9240999999</v>
      </c>
    </row>
    <row r="26" spans="1:5" x14ac:dyDescent="0.25">
      <c r="A26" s="1">
        <v>825</v>
      </c>
      <c r="B26" s="1">
        <f>Air_enthalpy!B26-287*$A26</f>
        <v>-1074804.3911000001</v>
      </c>
      <c r="C26" s="1">
        <f>Air_enthalpy!C26-287*$A26</f>
        <v>-1286572.9944000002</v>
      </c>
      <c r="D26" s="1">
        <f>Air_enthalpy!D26-287*$A26</f>
        <v>-1766754.7263999998</v>
      </c>
      <c r="E26" s="1">
        <f>Air_enthalpy!E26-287*$A26</f>
        <v>-2105697.7462999998</v>
      </c>
    </row>
    <row r="27" spans="1:5" x14ac:dyDescent="0.25">
      <c r="A27" s="1">
        <v>850</v>
      </c>
      <c r="B27" s="1">
        <f>Air_enthalpy!B27-287*$A27</f>
        <v>-1035578.43036</v>
      </c>
      <c r="C27" s="1">
        <f>Air_enthalpy!C27-287*$A27</f>
        <v>-1160490.8316100002</v>
      </c>
      <c r="D27" s="1">
        <f>Air_enthalpy!D27-287*$A27</f>
        <v>-1588072.0304</v>
      </c>
      <c r="E27" s="1">
        <f>Air_enthalpy!E27-287*$A27</f>
        <v>-2003195.3018</v>
      </c>
    </row>
    <row r="28" spans="1:5" x14ac:dyDescent="0.25">
      <c r="A28" s="1">
        <v>875</v>
      </c>
      <c r="B28" s="1">
        <f>Air_enthalpy!B28-287*$A28</f>
        <v>-1005594.76538</v>
      </c>
      <c r="C28" s="1">
        <f>Air_enthalpy!C28-287*$A28</f>
        <v>-1075608.35791</v>
      </c>
      <c r="D28" s="1">
        <f>Air_enthalpy!D28-287*$A28</f>
        <v>-1413406.6898000001</v>
      </c>
      <c r="E28" s="1">
        <f>Air_enthalpy!E28-287*$A28</f>
        <v>-1882036.0642000001</v>
      </c>
    </row>
    <row r="29" spans="1:5" x14ac:dyDescent="0.25">
      <c r="A29" s="1">
        <v>900</v>
      </c>
      <c r="B29" s="1">
        <f>Air_enthalpy!B29-287*$A29</f>
        <v>-979859.17865000002</v>
      </c>
      <c r="C29" s="1">
        <f>Air_enthalpy!C29-287*$A29</f>
        <v>-1018522.3090799999</v>
      </c>
      <c r="D29" s="1">
        <f>Air_enthalpy!D29-287*$A29</f>
        <v>-1260095.0167</v>
      </c>
      <c r="E29" s="1">
        <f>Air_enthalpy!E29-287*$A29</f>
        <v>-1744431.3936999999</v>
      </c>
    </row>
    <row r="30" spans="1:5" x14ac:dyDescent="0.25">
      <c r="A30" s="1">
        <v>925</v>
      </c>
      <c r="B30" s="1">
        <f>Air_enthalpy!B30-287*$A30</f>
        <v>-956065.38279000006</v>
      </c>
      <c r="C30" s="1">
        <f>Air_enthalpy!C30-287*$A30</f>
        <v>-977566.69877999998</v>
      </c>
      <c r="D30" s="1">
        <f>Air_enthalpy!D30-287*$A30</f>
        <v>-1138084.92829</v>
      </c>
      <c r="E30" s="1">
        <f>Air_enthalpy!E30-287*$A30</f>
        <v>-1595910.5506</v>
      </c>
    </row>
    <row r="31" spans="1:5" x14ac:dyDescent="0.25">
      <c r="A31" s="1">
        <v>950</v>
      </c>
      <c r="B31" s="1">
        <f>Air_enthalpy!B31-287*$A31</f>
        <v>-933147.34424999997</v>
      </c>
      <c r="C31" s="1">
        <f>Air_enthalpy!C31-287*$A31</f>
        <v>-945323.24193000002</v>
      </c>
      <c r="D31" s="1">
        <f>Air_enthalpy!D31-287*$A31</f>
        <v>-1047227.2191900001</v>
      </c>
      <c r="E31" s="1">
        <f>Air_enthalpy!E31-287*$A31</f>
        <v>-1445099.2032999999</v>
      </c>
    </row>
    <row r="32" spans="1:5" x14ac:dyDescent="0.25">
      <c r="A32" s="1">
        <v>975</v>
      </c>
      <c r="B32" s="1">
        <f>Air_enthalpy!B32-287*$A32</f>
        <v>-910602.7519899999</v>
      </c>
      <c r="C32" s="1">
        <f>Air_enthalpy!C32-287*$A32</f>
        <v>-917657.09227999998</v>
      </c>
      <c r="D32" s="1">
        <f>Air_enthalpy!D32-287*$A32</f>
        <v>-980985.10922999994</v>
      </c>
      <c r="E32" s="1">
        <f>Air_enthalpy!E32-287*$A32</f>
        <v>-1302016.6354999999</v>
      </c>
    </row>
    <row r="33" spans="1:5" x14ac:dyDescent="0.25">
      <c r="A33" s="1">
        <v>1000</v>
      </c>
      <c r="B33" s="1">
        <f>Air_enthalpy!B33-287*$A33</f>
        <v>-888188.75422999996</v>
      </c>
      <c r="C33" s="1">
        <f>Air_enthalpy!C33-287*$A33</f>
        <v>-892376.24054999999</v>
      </c>
      <c r="D33" s="1">
        <f>Air_enthalpy!D33-287*$A33</f>
        <v>-931583.39515</v>
      </c>
      <c r="E33" s="1">
        <f>Air_enthalpy!E33-287*$A33</f>
        <v>-1175215.8389999999</v>
      </c>
    </row>
    <row r="34" spans="1:5" x14ac:dyDescent="0.25">
      <c r="A34" s="1">
        <v>1025</v>
      </c>
      <c r="B34" s="1">
        <f>Air_enthalpy!B34-287*$A34</f>
        <v>-865785.98234999995</v>
      </c>
      <c r="C34" s="1">
        <f>Air_enthalpy!C34-287*$A34</f>
        <v>-868332.36929000006</v>
      </c>
      <c r="D34" s="1">
        <f>Air_enthalpy!D34-287*$A34</f>
        <v>-892780.79314999992</v>
      </c>
      <c r="E34" s="1">
        <f>Air_enthalpy!E34-287*$A34</f>
        <v>-1069292.12717</v>
      </c>
    </row>
    <row r="35" spans="1:5" x14ac:dyDescent="0.25">
      <c r="A35" s="1">
        <v>1050</v>
      </c>
      <c r="B35" s="1">
        <f>Air_enthalpy!B35-287*$A35</f>
        <v>-843335.61780000001</v>
      </c>
      <c r="C35" s="1">
        <f>Air_enthalpy!C35-287*$A35</f>
        <v>-844920.47061000008</v>
      </c>
      <c r="D35" s="1">
        <f>Air_enthalpy!D35-287*$A35</f>
        <v>-860368.66963999998</v>
      </c>
      <c r="E35" s="1">
        <f>Air_enthalpy!E35-287*$A35</f>
        <v>-984329.27049999998</v>
      </c>
    </row>
    <row r="36" spans="1:5" x14ac:dyDescent="0.25">
      <c r="A36" s="1">
        <v>1075</v>
      </c>
      <c r="B36" s="1">
        <f>Air_enthalpy!B36-287*$A36</f>
        <v>-820807.89182000002</v>
      </c>
      <c r="C36" s="1">
        <f>Air_enthalpy!C36-287*$A36</f>
        <v>-821816.30529000005</v>
      </c>
      <c r="D36" s="1">
        <f>Air_enthalpy!D36-287*$A36</f>
        <v>-831736.59872000001</v>
      </c>
      <c r="E36" s="1">
        <f>Air_enthalpy!E36-287*$A36</f>
        <v>-917288.51674999995</v>
      </c>
    </row>
    <row r="37" spans="1:5" x14ac:dyDescent="0.25">
      <c r="A37" s="1">
        <v>1100</v>
      </c>
      <c r="B37" s="1">
        <f>Air_enthalpy!B37-287*$A37</f>
        <v>-798188.30018000002</v>
      </c>
      <c r="C37" s="1">
        <f>Air_enthalpy!C37-287*$A37</f>
        <v>-798843.42804000003</v>
      </c>
      <c r="D37" s="1">
        <f>Air_enthalpy!D37-287*$A37</f>
        <v>-805325.08147999994</v>
      </c>
      <c r="E37" s="1">
        <f>Air_enthalpy!E37-287*$A37</f>
        <v>-863985.23601999995</v>
      </c>
    </row>
    <row r="38" spans="1:5" x14ac:dyDescent="0.25">
      <c r="A38" s="1">
        <v>1125</v>
      </c>
      <c r="B38" s="1">
        <f>Air_enthalpy!B38-287*$A38</f>
        <v>-775470.36291999999</v>
      </c>
      <c r="C38" s="1">
        <f>Air_enthalpy!C38-287*$A38</f>
        <v>-775904.38021999993</v>
      </c>
      <c r="D38" s="1">
        <f>Air_enthalpy!D38-287*$A38</f>
        <v>-780213.85939999996</v>
      </c>
      <c r="E38" s="1">
        <f>Air_enthalpy!E38-287*$A38</f>
        <v>-820485.32245000009</v>
      </c>
    </row>
    <row r="39" spans="1:5" x14ac:dyDescent="0.25">
      <c r="A39" s="1">
        <v>1150</v>
      </c>
      <c r="B39" s="1">
        <f>Air_enthalpy!B39-287*$A39</f>
        <v>-752651.90662999998</v>
      </c>
      <c r="C39" s="1">
        <f>Air_enthalpy!C39-287*$A39</f>
        <v>-752944.76656999998</v>
      </c>
      <c r="D39" s="1">
        <f>Air_enthalpy!D39-287*$A39</f>
        <v>-755859.3494500001</v>
      </c>
      <c r="E39" s="1">
        <f>Air_enthalpy!E39-287*$A39</f>
        <v>-783681.60629000003</v>
      </c>
    </row>
    <row r="40" spans="1:5" x14ac:dyDescent="0.25">
      <c r="A40" s="1">
        <v>1175</v>
      </c>
      <c r="B40" s="1">
        <f>Air_enthalpy!B40-287*$A40</f>
        <v>-729733.10514999996</v>
      </c>
      <c r="C40" s="1">
        <f>Air_enthalpy!C40-287*$A40</f>
        <v>-729934.15044999996</v>
      </c>
      <c r="D40" s="1">
        <f>Air_enthalpy!D40-287*$A40</f>
        <v>-731937.98438000004</v>
      </c>
      <c r="E40" s="1">
        <f>Air_enthalpy!E40-287*$A40</f>
        <v>-751340.23445999995</v>
      </c>
    </row>
    <row r="41" spans="1:5" x14ac:dyDescent="0.25">
      <c r="A41" s="1">
        <v>1200</v>
      </c>
      <c r="B41" s="1">
        <f>Air_enthalpy!B41-287*$A41</f>
        <v>-706715.42111</v>
      </c>
      <c r="C41" s="1">
        <f>Air_enthalpy!C41-287*$A41</f>
        <v>-706855.68666999997</v>
      </c>
      <c r="D41" s="1">
        <f>Air_enthalpy!D41-287*$A41</f>
        <v>-708255.11560999998</v>
      </c>
      <c r="E41" s="1">
        <f>Air_enthalpy!E41-287*$A41</f>
        <v>-721935.64008000004</v>
      </c>
    </row>
    <row r="42" spans="1:5" x14ac:dyDescent="0.25">
      <c r="A42" s="1">
        <v>1225</v>
      </c>
      <c r="B42" s="1">
        <f>Air_enthalpy!B42-287*$A42</f>
        <v>-683601.02065000008</v>
      </c>
      <c r="C42" s="1">
        <f>Air_enthalpy!C42-287*$A42</f>
        <v>-683700.37945999997</v>
      </c>
      <c r="D42" s="1">
        <f>Air_enthalpy!D42-287*$A42</f>
        <v>-684692.34655999998</v>
      </c>
      <c r="E42" s="1">
        <f>Air_enthalpy!E42-287*$A42</f>
        <v>-694453.12877000007</v>
      </c>
    </row>
    <row r="43" spans="1:5" x14ac:dyDescent="0.25">
      <c r="A43" s="1">
        <v>1250</v>
      </c>
      <c r="B43" s="1">
        <f>Air_enthalpy!B43-287*$A43</f>
        <v>-660392.44292000006</v>
      </c>
      <c r="C43" s="1">
        <f>Air_enthalpy!C43-287*$A43</f>
        <v>-660463.83765999996</v>
      </c>
      <c r="D43" s="1">
        <f>Air_enthalpy!D43-287*$A43</f>
        <v>-661176.94712999999</v>
      </c>
      <c r="E43" s="1">
        <f>Air_enthalpy!E43-287*$A43</f>
        <v>-668225.47567999992</v>
      </c>
    </row>
    <row r="44" spans="1:5" x14ac:dyDescent="0.25">
      <c r="A44" s="1">
        <v>1275</v>
      </c>
      <c r="B44" s="1">
        <f>Air_enthalpy!B44-287*$A44</f>
        <v>-637092.40966</v>
      </c>
      <c r="C44" s="1">
        <f>Air_enthalpy!C44-287*$A44</f>
        <v>-637144.40521</v>
      </c>
      <c r="D44" s="1">
        <f>Air_enthalpy!D44-287*$A44</f>
        <v>-637663.91558999999</v>
      </c>
      <c r="E44" s="1">
        <f>Air_enthalpy!E44-287*$A44</f>
        <v>-642815.02503000002</v>
      </c>
    </row>
    <row r="45" spans="1:5" x14ac:dyDescent="0.25">
      <c r="A45" s="1">
        <v>1300</v>
      </c>
      <c r="B45" s="1">
        <f>Air_enthalpy!B45-287*$A45</f>
        <v>-613703.71375</v>
      </c>
      <c r="C45" s="1">
        <f>Air_enthalpy!C45-287*$A45</f>
        <v>-613742.06412</v>
      </c>
      <c r="D45" s="1">
        <f>Air_enthalpy!D45-287*$A45</f>
        <v>-614125.32444999996</v>
      </c>
      <c r="E45" s="1">
        <f>Air_enthalpy!E45-287*$A45</f>
        <v>-617933.91402000003</v>
      </c>
    </row>
    <row r="46" spans="1:5" x14ac:dyDescent="0.25">
      <c r="A46" s="1">
        <v>1325</v>
      </c>
      <c r="B46" s="1">
        <f>Air_enthalpy!B46-287*$A46</f>
        <v>-590229.15315000003</v>
      </c>
      <c r="C46" s="1">
        <f>Air_enthalpy!C46-287*$A46</f>
        <v>-590257.77942000004</v>
      </c>
      <c r="D46" s="1">
        <f>Air_enthalpy!D46-287*$A46</f>
        <v>-590543.90433000005</v>
      </c>
      <c r="E46" s="1">
        <f>Air_enthalpy!E46-287*$A46</f>
        <v>-593391.73965</v>
      </c>
    </row>
    <row r="47" spans="1:5" x14ac:dyDescent="0.25">
      <c r="A47" s="1">
        <v>1350</v>
      </c>
      <c r="B47" s="1">
        <f>Air_enthalpy!B47-287*$A47</f>
        <v>-566671.49138999998</v>
      </c>
      <c r="C47" s="1">
        <f>Air_enthalpy!C47-287*$A47</f>
        <v>-566693.10189000005</v>
      </c>
      <c r="D47" s="1">
        <f>Air_enthalpy!D47-287*$A47</f>
        <v>-566909.12418000004</v>
      </c>
      <c r="E47" s="1">
        <f>Air_enthalpy!E47-287*$A47</f>
        <v>-569061.68677999999</v>
      </c>
    </row>
    <row r="48" spans="1:5" x14ac:dyDescent="0.25">
      <c r="A48" s="1">
        <v>1375</v>
      </c>
      <c r="B48" s="1">
        <f>Air_enthalpy!B48-287*$A48</f>
        <v>-543033.43396000005</v>
      </c>
      <c r="C48" s="1">
        <f>Air_enthalpy!C48-287*$A48</f>
        <v>-543049.92351999995</v>
      </c>
      <c r="D48" s="1">
        <f>Air_enthalpy!D48-287*$A48</f>
        <v>-543214.76239000005</v>
      </c>
      <c r="E48" s="1">
        <f>Air_enthalpy!E48-287*$A48</f>
        <v>-544858.68210999994</v>
      </c>
    </row>
    <row r="49" spans="1:5" x14ac:dyDescent="0.25">
      <c r="A49" s="1">
        <v>1400</v>
      </c>
      <c r="B49" s="1">
        <f>Air_enthalpy!B49-287*$A49</f>
        <v>-519317.61449000001</v>
      </c>
      <c r="C49" s="1">
        <f>Air_enthalpy!C49-287*$A49</f>
        <v>-519330.32506</v>
      </c>
      <c r="D49" s="1">
        <f>Air_enthalpy!D49-287*$A49</f>
        <v>-519457.38056000002</v>
      </c>
      <c r="E49" s="1">
        <f>Air_enthalpy!E49-287*$A49</f>
        <v>-520725.27247999999</v>
      </c>
    </row>
    <row r="50" spans="1:5" x14ac:dyDescent="0.25">
      <c r="A50" s="1">
        <v>1425</v>
      </c>
      <c r="B50" s="1">
        <f>Air_enthalpy!B50-287*$A50</f>
        <v>-495526.586717</v>
      </c>
      <c r="C50" s="1">
        <f>Air_enthalpy!C50-287*$A50</f>
        <v>-495536.48002999998</v>
      </c>
      <c r="D50" s="1">
        <f>Air_enthalpy!D50-287*$A50</f>
        <v>-495635.35167</v>
      </c>
      <c r="E50" s="1">
        <f>Air_enthalpy!E50-287*$A50</f>
        <v>-496622.44413399999</v>
      </c>
    </row>
    <row r="51" spans="1:5" x14ac:dyDescent="0.25">
      <c r="A51" s="1">
        <v>1450</v>
      </c>
      <c r="B51" s="1">
        <f>Air_enthalpy!B51-287*$A51</f>
        <v>-471662.82029800001</v>
      </c>
      <c r="C51" s="1">
        <f>Air_enthalpy!C51-287*$A51</f>
        <v>-471670.59379499999</v>
      </c>
      <c r="D51" s="1">
        <f>Air_enthalpy!D51-287*$A51</f>
        <v>-471748.23330600001</v>
      </c>
      <c r="E51" s="1">
        <f>Air_enthalpy!E51-287*$A51</f>
        <v>-472523.60812200001</v>
      </c>
    </row>
    <row r="52" spans="1:5" x14ac:dyDescent="0.25">
      <c r="A52" s="1">
        <v>1475</v>
      </c>
      <c r="B52" s="1">
        <f>Air_enthalpy!B52-287*$A52</f>
        <v>-447728.698859</v>
      </c>
      <c r="C52" s="1">
        <f>Air_enthalpy!C52-287*$A52</f>
        <v>-447734.86465900001</v>
      </c>
      <c r="D52" s="1">
        <f>Air_enthalpy!D52-287*$A52</f>
        <v>-447796.35863700003</v>
      </c>
      <c r="E52" s="1">
        <f>Air_enthalpy!E52-287*$A52</f>
        <v>-448410.62504800002</v>
      </c>
    </row>
    <row r="53" spans="1:5" x14ac:dyDescent="0.25">
      <c r="A53" s="1">
        <v>1500</v>
      </c>
      <c r="B53" s="1">
        <f>Air_enthalpy!B53-287*$A53</f>
        <v>-423726.51941760001</v>
      </c>
      <c r="C53" s="1">
        <f>Air_enthalpy!C53-287*$A53</f>
        <v>-423731.45907849999</v>
      </c>
      <c r="D53" s="1">
        <f>Air_enthalpy!D53-287*$A53</f>
        <v>-423780.56651620002</v>
      </c>
      <c r="E53" s="1">
        <f>Air_enthalpy!E53-287*$A53</f>
        <v>-424271.15294210002</v>
      </c>
    </row>
    <row r="54" spans="1:5" x14ac:dyDescent="0.25">
      <c r="A54" s="1">
        <v>1525</v>
      </c>
      <c r="B54" s="1">
        <f>Air_enthalpy!B54-287*$A54</f>
        <v>-399658.49251999997</v>
      </c>
      <c r="C54" s="1">
        <f>Air_enthalpy!C54-287*$A54</f>
        <v>-399662.49589600001</v>
      </c>
      <c r="D54" s="1">
        <f>Air_enthalpy!D54-287*$A54</f>
        <v>-399702.02157899999</v>
      </c>
      <c r="E54" s="1">
        <f>Air_enthalpy!E54-287*$A54</f>
        <v>-400096.86083999998</v>
      </c>
    </row>
    <row r="55" spans="1:5" x14ac:dyDescent="0.25">
      <c r="A55" s="1">
        <v>1550</v>
      </c>
      <c r="B55" s="1">
        <f>Air_enthalpy!B55-287*$A55</f>
        <v>-375526.742623</v>
      </c>
      <c r="C55" s="1">
        <f>Air_enthalpy!C55-287*$A55</f>
        <v>-375530.03642100003</v>
      </c>
      <c r="D55" s="1">
        <f>Air_enthalpy!D55-287*$A55</f>
        <v>-375562.093245</v>
      </c>
      <c r="E55" s="1">
        <f>Air_enthalpy!E55-287*$A55</f>
        <v>-375882.213934</v>
      </c>
    </row>
    <row r="56" spans="1:5" x14ac:dyDescent="0.25">
      <c r="A56" s="1">
        <v>1575</v>
      </c>
      <c r="B56" s="1">
        <f>Air_enthalpy!B56-287*$A56</f>
        <v>-351333.30828</v>
      </c>
      <c r="C56" s="1">
        <f>Air_enthalpy!C56-287*$A56</f>
        <v>-351336.07825000002</v>
      </c>
      <c r="D56" s="1">
        <f>Air_enthalpy!D56-287*$A56</f>
        <v>-351362.27367999998</v>
      </c>
      <c r="E56" s="1">
        <f>Air_enthalpy!E56-287*$A56</f>
        <v>-351623.63964000001</v>
      </c>
    </row>
    <row r="57" spans="1:5" x14ac:dyDescent="0.25">
      <c r="A57" s="1">
        <v>1600</v>
      </c>
      <c r="B57" s="1">
        <f>Air_enthalpy!B57-287*$A57</f>
        <v>-327080.14170000004</v>
      </c>
      <c r="C57" s="1">
        <f>Air_enthalpy!C57-287*$A57</f>
        <v>-327082.55142999999</v>
      </c>
      <c r="D57" s="1">
        <f>Air_enthalpy!D57-287*$A57</f>
        <v>-327104.12176000001</v>
      </c>
      <c r="E57" s="1">
        <f>Air_enthalpy!E57-287*$A57</f>
        <v>-327318.94993</v>
      </c>
    </row>
    <row r="58" spans="1:5" x14ac:dyDescent="0.25">
      <c r="A58" s="1">
        <v>1625</v>
      </c>
      <c r="B58" s="1">
        <f>Air_enthalpy!B58-287*$A58</f>
        <v>-302769.10735000001</v>
      </c>
      <c r="C58" s="1">
        <f>Air_enthalpy!C58-287*$A58</f>
        <v>-302771.31599999999</v>
      </c>
      <c r="D58" s="1">
        <f>Air_enthalpy!D58-287*$A58</f>
        <v>-302789.22461999999</v>
      </c>
      <c r="E58" s="1">
        <f>Air_enthalpy!E58-287*$A58</f>
        <v>-302966.93761999998</v>
      </c>
    </row>
    <row r="59" spans="1:5" x14ac:dyDescent="0.25">
      <c r="A59" s="1">
        <v>1650</v>
      </c>
      <c r="B59" s="1">
        <f>Air_enthalpy!B59-287*$A59</f>
        <v>-278401.97881</v>
      </c>
      <c r="C59" s="1">
        <f>Air_enthalpy!C59-287*$A59</f>
        <v>-278404.16018999997</v>
      </c>
      <c r="D59" s="1">
        <f>Air_enthalpy!D59-287*$A59</f>
        <v>-278419.17100999999</v>
      </c>
      <c r="E59" s="1">
        <f>Air_enthalpy!E59-287*$A59</f>
        <v>-278567.09195000003</v>
      </c>
    </row>
    <row r="60" spans="1:5" x14ac:dyDescent="0.25">
      <c r="A60" s="1">
        <v>1675</v>
      </c>
      <c r="B60" s="1">
        <f>Air_enthalpy!B60-287*$A60</f>
        <v>-253980.43361000001</v>
      </c>
      <c r="C60" s="1">
        <f>Air_enthalpy!C60-287*$A60</f>
        <v>-253982.79866</v>
      </c>
      <c r="D60" s="1">
        <f>Air_enthalpy!D60-287*$A60</f>
        <v>-253995.53272000002</v>
      </c>
      <c r="E60" s="1">
        <f>Air_enthalpy!E60-287*$A60</f>
        <v>-254119.39647000001</v>
      </c>
    </row>
    <row r="61" spans="1:5" x14ac:dyDescent="0.25">
      <c r="A61" s="1">
        <v>1700</v>
      </c>
      <c r="B61" s="1">
        <f>Air_enthalpy!B61-287*$A61</f>
        <v>-229506.04484999998</v>
      </c>
      <c r="C61" s="1">
        <f>Air_enthalpy!C61-287*$A61</f>
        <v>-229508.87029999998</v>
      </c>
      <c r="D61" s="1">
        <f>Air_enthalpy!D61-287*$A61</f>
        <v>-229519.85150999998</v>
      </c>
      <c r="E61" s="1">
        <f>Air_enthalpy!E61-287*$A61</f>
        <v>-229624.18445</v>
      </c>
    </row>
    <row r="62" spans="1:5" x14ac:dyDescent="0.25">
      <c r="A62" s="1">
        <v>1725</v>
      </c>
      <c r="B62" s="1">
        <f>Air_enthalpy!B62-287*$A62</f>
        <v>-204980.26896000002</v>
      </c>
      <c r="C62" s="1">
        <f>Air_enthalpy!C62-287*$A62</f>
        <v>-204983.93519999995</v>
      </c>
      <c r="D62" s="1">
        <f>Air_enthalpy!D62-287*$A62</f>
        <v>-204993.62955999997</v>
      </c>
      <c r="E62" s="1">
        <f>Air_enthalpy!E62-287*$A62</f>
        <v>-205082.03454000002</v>
      </c>
    </row>
    <row r="63" spans="1:5" x14ac:dyDescent="0.25">
      <c r="A63" s="1">
        <v>1750</v>
      </c>
      <c r="B63" s="1">
        <f>Air_enthalpy!B63-287*$A63</f>
        <v>-180404.42809</v>
      </c>
      <c r="C63" s="1">
        <f>Air_enthalpy!C63-287*$A63</f>
        <v>-180409.47009000002</v>
      </c>
      <c r="D63" s="1">
        <f>Air_enthalpy!D63-287*$A63</f>
        <v>-180418.3223</v>
      </c>
      <c r="E63" s="1">
        <f>Air_enthalpy!E63-287*$A63</f>
        <v>-180493.69496999995</v>
      </c>
    </row>
    <row r="64" spans="1:5" x14ac:dyDescent="0.25">
      <c r="A64" s="1">
        <v>1775</v>
      </c>
      <c r="B64" s="1">
        <f>Air_enthalpy!B64-287*$A64</f>
        <v>-155779.68568</v>
      </c>
      <c r="C64" s="1">
        <f>Air_enthalpy!C64-287*$A64</f>
        <v>-155786.86180999997</v>
      </c>
      <c r="D64" s="1">
        <f>Air_enthalpy!D64-287*$A64</f>
        <v>-155795.33247999998</v>
      </c>
      <c r="E64" s="1">
        <f>Air_enthalpy!E64-287*$A64</f>
        <v>-155860.02808000002</v>
      </c>
    </row>
    <row r="65" spans="1:5" x14ac:dyDescent="0.25">
      <c r="A65" s="1">
        <v>1800</v>
      </c>
      <c r="B65" s="1">
        <f>Air_enthalpy!B65-287*$A65</f>
        <v>-131107.01335999998</v>
      </c>
      <c r="C65" s="1">
        <f>Air_enthalpy!C65-287*$A65</f>
        <v>-131117.39818999998</v>
      </c>
      <c r="D65" s="1">
        <f>Air_enthalpy!D65-287*$A65</f>
        <v>-131126.0049</v>
      </c>
      <c r="E65" s="1">
        <f>Air_enthalpy!E65-287*$A65</f>
        <v>-131181.96919999999</v>
      </c>
    </row>
    <row r="66" spans="1:5" x14ac:dyDescent="0.25">
      <c r="A66" s="1">
        <v>1825</v>
      </c>
      <c r="B66" s="1">
        <f>Air_enthalpy!B66-287*$A66</f>
        <v>-106387.14666000003</v>
      </c>
      <c r="C66" s="1">
        <f>Air_enthalpy!C66-287*$A66</f>
        <v>-106402.25543999998</v>
      </c>
      <c r="D66" s="1">
        <f>Air_enthalpy!D66-287*$A66</f>
        <v>-106411.62091999996</v>
      </c>
      <c r="E66" s="1">
        <f>Air_enthalpy!E66-287*$A66</f>
        <v>-106460.49601</v>
      </c>
    </row>
    <row r="67" spans="1:5" x14ac:dyDescent="0.25">
      <c r="A67" s="1">
        <v>1850</v>
      </c>
      <c r="B67" s="1">
        <f>Air_enthalpy!B67-287*$A67</f>
        <v>-81620.526789999974</v>
      </c>
      <c r="C67" s="1">
        <f>Air_enthalpy!C67-287*$A67</f>
        <v>-81642.481289999967</v>
      </c>
      <c r="D67" s="1">
        <f>Air_enthalpy!D67-287*$A67</f>
        <v>-81653.392430000007</v>
      </c>
      <c r="E67" s="1">
        <f>Air_enthalpy!E67-287*$A67</f>
        <v>-81696.605129999982</v>
      </c>
    </row>
    <row r="68" spans="1:5" x14ac:dyDescent="0.25">
      <c r="A68" s="1">
        <v>1875</v>
      </c>
      <c r="B68" s="1">
        <f>Air_enthalpy!B68-287*$A68</f>
        <v>-56807.224849999999</v>
      </c>
      <c r="C68" s="1">
        <f>Air_enthalpy!C68-287*$A68</f>
        <v>-56838.972739999997</v>
      </c>
      <c r="D68" s="1">
        <f>Air_enthalpy!D68-287*$A68</f>
        <v>-56852.454629999993</v>
      </c>
      <c r="E68" s="1">
        <f>Air_enthalpy!E68-287*$A68</f>
        <v>-56891.293999999994</v>
      </c>
    </row>
    <row r="69" spans="1:5" x14ac:dyDescent="0.25">
      <c r="A69" s="1">
        <v>1900</v>
      </c>
      <c r="B69" s="1">
        <f>Air_enthalpy!B69-287*$A69</f>
        <v>-31946.844239999948</v>
      </c>
      <c r="C69" s="1">
        <f>Air_enthalpy!C69-287*$A69</f>
        <v>-31992.447120000026</v>
      </c>
      <c r="D69" s="1">
        <f>Air_enthalpy!D69-287*$A69</f>
        <v>-32009.857039999973</v>
      </c>
      <c r="E69" s="1">
        <f>Air_enthalpy!E69-287*$A69</f>
        <v>-32045.546269999992</v>
      </c>
    </row>
    <row r="70" spans="1:5" x14ac:dyDescent="0.25">
      <c r="A70" s="1">
        <v>1925</v>
      </c>
      <c r="B70" s="1">
        <f>Air_enthalpy!B70-287*$A70</f>
        <v>-7038.3958800000837</v>
      </c>
      <c r="C70" s="1">
        <f>Air_enthalpy!C70-287*$A70</f>
        <v>-7103.4050999999745</v>
      </c>
      <c r="D70" s="1">
        <f>Air_enthalpy!D70-287*$A70</f>
        <v>-7126.5522600000259</v>
      </c>
      <c r="E70" s="1">
        <f>Air_enthalpy!E70-287*$A70</f>
        <v>-7160.319540000055</v>
      </c>
    </row>
    <row r="71" spans="1:5" x14ac:dyDescent="0.25">
      <c r="A71" s="1">
        <v>1950</v>
      </c>
      <c r="B71" s="1">
        <f>Air_enthalpy!B71-287*$A71</f>
        <v>17919.860319999978</v>
      </c>
      <c r="C71" s="1">
        <f>Air_enthalpy!C71-287*$A71</f>
        <v>17827.916349999956</v>
      </c>
      <c r="D71" s="1">
        <f>Air_enthalpy!D71-287*$A71</f>
        <v>17796.61810000008</v>
      </c>
      <c r="E71" s="1">
        <f>Air_enthalpy!E71-287*$A71</f>
        <v>17763.465549999964</v>
      </c>
    </row>
    <row r="72" spans="1:5" x14ac:dyDescent="0.25">
      <c r="A72" s="1">
        <v>1975</v>
      </c>
      <c r="B72" s="1">
        <f>Air_enthalpy!B72-287*$A72</f>
        <v>42930.615819999948</v>
      </c>
      <c r="C72" s="1">
        <f>Air_enthalpy!C72-287*$A72</f>
        <v>42801.602879999904</v>
      </c>
      <c r="D72" s="1">
        <f>Air_enthalpy!D72-287*$A72</f>
        <v>42758.941080000019</v>
      </c>
      <c r="E72" s="1">
        <f>Air_enthalpy!E72-287*$A72</f>
        <v>42724.935599999968</v>
      </c>
    </row>
    <row r="73" spans="1:5" x14ac:dyDescent="0.25">
      <c r="A73" s="1">
        <v>2000</v>
      </c>
      <c r="B73" s="1">
        <f>Air_enthalpy!B73-287*$A73</f>
        <v>67997.766010000021</v>
      </c>
      <c r="C73" s="1">
        <f>Air_enthalpy!C73-287*$A73</f>
        <v>67818.136300000013</v>
      </c>
      <c r="D73" s="1">
        <f>Air_enthalpy!D73-287*$A73</f>
        <v>67759.854369999957</v>
      </c>
      <c r="E73" s="1">
        <f>Air_enthalpy!E73-287*$A73</f>
        <v>67723.274800000014</v>
      </c>
    </row>
    <row r="74" spans="1:5" x14ac:dyDescent="0.25">
      <c r="A74" s="1">
        <v>2025</v>
      </c>
      <c r="B74" s="1">
        <f>Air_enthalpy!B74-287*$A74</f>
        <v>93126.72808999999</v>
      </c>
      <c r="C74" s="1">
        <f>Air_enthalpy!C74-287*$A74</f>
        <v>92878.485529999947</v>
      </c>
      <c r="D74" s="1">
        <f>Air_enthalpy!D74-287*$A74</f>
        <v>92798.973409999977</v>
      </c>
      <c r="E74" s="1">
        <f>Air_enthalpy!E74-287*$A74</f>
        <v>92757.735890000011</v>
      </c>
    </row>
    <row r="75" spans="1:5" x14ac:dyDescent="0.25">
      <c r="A75" s="1">
        <v>2050</v>
      </c>
      <c r="B75" s="1">
        <f>Air_enthalpy!B75-287*$A75</f>
        <v>118324.84138999996</v>
      </c>
      <c r="C75" s="1">
        <f>Air_enthalpy!C75-287*$A75</f>
        <v>117984.21860999998</v>
      </c>
      <c r="D75" s="1">
        <f>Air_enthalpy!D75-287*$A75</f>
        <v>117876.1246000001</v>
      </c>
      <c r="E75" s="1">
        <f>Air_enthalpy!E75-287*$A75</f>
        <v>117827.65231999999</v>
      </c>
    </row>
    <row r="76" spans="1:5" x14ac:dyDescent="0.25">
      <c r="A76" s="1">
        <v>2075</v>
      </c>
      <c r="B76" s="1">
        <f>Air_enthalpy!B76-287*$A76</f>
        <v>143601.87228000001</v>
      </c>
      <c r="C76" s="1">
        <f>Air_enthalpy!C76-287*$A76</f>
        <v>143137.64005000005</v>
      </c>
      <c r="D76" s="1">
        <f>Air_enthalpy!D76-287*$A76</f>
        <v>142991.38576000009</v>
      </c>
      <c r="E76" s="1">
        <f>Air_enthalpy!E76-287*$A76</f>
        <v>142932.45198000001</v>
      </c>
    </row>
    <row r="77" spans="1:5" x14ac:dyDescent="0.25">
      <c r="A77" s="1">
        <v>2100</v>
      </c>
      <c r="B77" s="1">
        <f>Air_enthalpy!B77-287*$A77</f>
        <v>168970.65358000004</v>
      </c>
      <c r="C77" s="1">
        <f>Air_enthalpy!C77-287*$A77</f>
        <v>168341.95874999999</v>
      </c>
      <c r="D77" s="1">
        <f>Air_enthalpy!D77-287*$A77</f>
        <v>168145.13506999996</v>
      </c>
      <c r="E77" s="1">
        <f>Air_enthalpy!E77-287*$A77</f>
        <v>168071.67314999993</v>
      </c>
    </row>
    <row r="78" spans="1:5" x14ac:dyDescent="0.25">
      <c r="A78" s="1">
        <v>2125</v>
      </c>
      <c r="B78" s="1">
        <f>Air_enthalpy!B78-287*$A78</f>
        <v>194447.89827999996</v>
      </c>
      <c r="C78" s="1">
        <f>Air_enthalpy!C78-287*$A78</f>
        <v>193601.49314000004</v>
      </c>
      <c r="D78" s="1">
        <f>Air_enthalpy!D78-287*$A78</f>
        <v>193338.10991999996</v>
      </c>
      <c r="E78" s="1">
        <f>Air_enthalpy!E78-287*$A78</f>
        <v>193244.98301000008</v>
      </c>
    </row>
    <row r="79" spans="1:5" x14ac:dyDescent="0.25">
      <c r="A79" s="1">
        <v>2150</v>
      </c>
      <c r="B79" s="1">
        <f>Air_enthalpy!B79-287*$A79</f>
        <v>220055.24154999992</v>
      </c>
      <c r="C79" s="1">
        <f>Air_enthalpy!C79-287*$A79</f>
        <v>218921.92141999991</v>
      </c>
      <c r="D79" s="1">
        <f>Air_enthalpy!D79-287*$A79</f>
        <v>218571.47746999993</v>
      </c>
      <c r="E79" s="1">
        <f>Air_enthalpy!E79-287*$A79</f>
        <v>218452.19935000001</v>
      </c>
    </row>
    <row r="80" spans="1:5" x14ac:dyDescent="0.25">
      <c r="A80" s="1">
        <v>2175</v>
      </c>
      <c r="B80" s="1">
        <f>Air_enthalpy!B80-287*$A80</f>
        <v>245820.58432000002</v>
      </c>
      <c r="C80" s="1">
        <f>Air_enthalpy!C80-287*$A80</f>
        <v>244310.58764000004</v>
      </c>
      <c r="D80" s="1">
        <f>Air_enthalpy!D80-287*$A80</f>
        <v>243846.91868</v>
      </c>
      <c r="E80" s="1">
        <f>Air_enthalpy!E80-287*$A80</f>
        <v>243693.31605000002</v>
      </c>
    </row>
    <row r="81" spans="1:5" x14ac:dyDescent="0.25">
      <c r="A81" s="1">
        <v>2200</v>
      </c>
      <c r="B81" s="1">
        <f>Air_enthalpy!B81-287*$A81</f>
        <v>271779.83850999991</v>
      </c>
      <c r="C81" s="1">
        <f>Air_enthalpy!C81-287*$A81</f>
        <v>269776.87641000003</v>
      </c>
      <c r="D81" s="1">
        <f>Air_enthalpy!D81-287*$A81</f>
        <v>269166.72852999996</v>
      </c>
      <c r="E81" s="1">
        <f>Air_enthalpy!E81-287*$A81</f>
        <v>268968.53283000004</v>
      </c>
    </row>
    <row r="82" spans="1:5" x14ac:dyDescent="0.25">
      <c r="A82" s="1">
        <v>2225</v>
      </c>
      <c r="B82" s="1">
        <f>Air_enthalpy!B82-287*$A82</f>
        <v>297979.20993999997</v>
      </c>
      <c r="C82" s="1">
        <f>Air_enthalpy!C82-287*$A82</f>
        <v>295332.67376999999</v>
      </c>
      <c r="D82" s="1">
        <f>Air_enthalpy!D82-287*$A82</f>
        <v>294533.93484</v>
      </c>
      <c r="E82" s="1">
        <f>Air_enthalpy!E82-287*$A82</f>
        <v>294278.28997000004</v>
      </c>
    </row>
    <row r="83" spans="1:5" x14ac:dyDescent="0.25">
      <c r="A83" s="1">
        <v>2250</v>
      </c>
      <c r="B83" s="1">
        <f>Air_enthalpy!B83-287*$A83</f>
        <v>324478.20417000004</v>
      </c>
      <c r="C83" s="1">
        <f>Air_enthalpy!C83-287*$A83</f>
        <v>320992.93609999993</v>
      </c>
      <c r="D83" s="1">
        <f>Air_enthalpy!D83-287*$A83</f>
        <v>319952.43940999999</v>
      </c>
      <c r="E83" s="1">
        <f>Air_enthalpy!E83-287*$A83</f>
        <v>319623.30891000002</v>
      </c>
    </row>
    <row r="84" spans="1:5" x14ac:dyDescent="0.25">
      <c r="A84" s="1">
        <v>2275</v>
      </c>
      <c r="B84" s="1">
        <f>Air_enthalpy!B84-287*$A84</f>
        <v>351353.60639999993</v>
      </c>
      <c r="C84" s="1">
        <f>Air_enthalpy!C84-287*$A84</f>
        <v>346776.39645999996</v>
      </c>
      <c r="D84" s="1">
        <f>Air_enthalpy!D84-287*$A84</f>
        <v>345427.18540999992</v>
      </c>
      <c r="E84" s="1">
        <f>Air_enthalpy!E84-287*$A84</f>
        <v>345004.63919999998</v>
      </c>
    </row>
    <row r="85" spans="1:5" x14ac:dyDescent="0.25">
      <c r="A85" s="1">
        <v>2300</v>
      </c>
      <c r="B85" s="1">
        <f>Air_enthalpy!B85-287*$A85</f>
        <v>378704.77379999997</v>
      </c>
      <c r="C85" s="1">
        <f>Air_enthalpy!C85-287*$A85</f>
        <v>372706.44620000001</v>
      </c>
      <c r="D85" s="1">
        <f>Air_enthalpy!D85-287*$A85</f>
        <v>370964.35639999993</v>
      </c>
      <c r="E85" s="1">
        <f>Air_enthalpy!E85-287*$A85</f>
        <v>370423.7132</v>
      </c>
    </row>
    <row r="86" spans="1:5" x14ac:dyDescent="0.25">
      <c r="A86" s="1">
        <v>2325</v>
      </c>
      <c r="B86" s="1">
        <f>Air_enthalpy!B86-287*$A86</f>
        <v>406660.69559999998</v>
      </c>
      <c r="C86" s="1">
        <f>Air_enthalpy!C86-287*$A86</f>
        <v>398812.24200000009</v>
      </c>
      <c r="D86" s="1">
        <f>Air_enthalpy!D86-287*$A86</f>
        <v>396571.6129999999</v>
      </c>
      <c r="E86" s="1">
        <f>Air_enthalpy!E86-287*$A86</f>
        <v>395882.40910000005</v>
      </c>
    </row>
    <row r="87" spans="1:5" x14ac:dyDescent="0.25">
      <c r="A87" s="1">
        <v>2350</v>
      </c>
      <c r="B87" s="1">
        <f>Air_enthalpy!B87-287*$A87</f>
        <v>435389.42670000019</v>
      </c>
      <c r="C87" s="1">
        <f>Air_enthalpy!C87-287*$A87</f>
        <v>425130.10320000001</v>
      </c>
      <c r="D87" s="1">
        <f>Air_enthalpy!D87-287*$A87</f>
        <v>422258.37569999998</v>
      </c>
      <c r="E87" s="1">
        <f>Air_enthalpy!E87-287*$A87</f>
        <v>421383.12440000009</v>
      </c>
    </row>
    <row r="88" spans="1:5" x14ac:dyDescent="0.25">
      <c r="A88" s="1">
        <v>2375</v>
      </c>
      <c r="B88" s="1">
        <f>Air_enthalpy!B88-287*$A88</f>
        <v>465110.69909999985</v>
      </c>
      <c r="C88" s="1">
        <f>Air_enthalpy!C88-287*$A88</f>
        <v>451705.28590000002</v>
      </c>
      <c r="D88" s="1">
        <f>Air_enthalpy!D88-287*$A88</f>
        <v>448036.1632999999</v>
      </c>
      <c r="E88" s="1">
        <f>Air_enthalpy!E88-287*$A88</f>
        <v>446928.85959999985</v>
      </c>
    </row>
    <row r="89" spans="1:5" x14ac:dyDescent="0.25">
      <c r="A89" s="1">
        <v>2400</v>
      </c>
      <c r="B89" s="1">
        <f>Air_enthalpy!B89-287*$A89</f>
        <v>496112.76939999987</v>
      </c>
      <c r="C89" s="1">
        <f>Air_enthalpy!C89-287*$A89</f>
        <v>478594.24319999991</v>
      </c>
      <c r="D89" s="1">
        <f>Air_enthalpy!D89-287*$A89</f>
        <v>473919.00019999989</v>
      </c>
      <c r="E89" s="1">
        <f>Air_enthalpy!E89-287*$A89</f>
        <v>472523.31670000008</v>
      </c>
    </row>
    <row r="90" spans="1:5" x14ac:dyDescent="0.25">
      <c r="A90" s="1">
        <v>2425</v>
      </c>
      <c r="B90" s="1">
        <f>Air_enthalpy!B90-287*$A90</f>
        <v>528774.88520000014</v>
      </c>
      <c r="C90" s="1">
        <f>Air_enthalpy!C90-287*$A90</f>
        <v>505867.51769999997</v>
      </c>
      <c r="D90" s="1">
        <f>Air_enthalpy!D90-287*$A90</f>
        <v>499923.90799999982</v>
      </c>
      <c r="E90" s="1">
        <f>Air_enthalpy!E90-287*$A90</f>
        <v>498171.01099999994</v>
      </c>
    </row>
    <row r="91" spans="1:5" x14ac:dyDescent="0.25">
      <c r="A91" s="1">
        <v>2450</v>
      </c>
      <c r="B91" s="1">
        <f>Air_enthalpy!B91-287*$A91</f>
        <v>563597.16540000006</v>
      </c>
      <c r="C91" s="1">
        <f>Air_enthalpy!C91-287*$A91</f>
        <v>533613.45079999999</v>
      </c>
      <c r="D91" s="1">
        <f>Air_enthalpy!D91-287*$A91</f>
        <v>526071.50230000005</v>
      </c>
      <c r="E91" s="1">
        <f>Air_enthalpy!E91-287*$A91</f>
        <v>523877.40279999981</v>
      </c>
    </row>
    <row r="92" spans="1:5" x14ac:dyDescent="0.25">
      <c r="A92" s="1">
        <v>2475</v>
      </c>
      <c r="B92" s="1">
        <f>Air_enthalpy!B92-287*$A92</f>
        <v>601240.2052999998</v>
      </c>
      <c r="C92" s="1">
        <f>Air_enthalpy!C92-287*$A92</f>
        <v>561942.94790000003</v>
      </c>
      <c r="D92" s="1">
        <f>Air_enthalpy!D92-287*$A92</f>
        <v>552386.72019999987</v>
      </c>
      <c r="E92" s="1">
        <f>Air_enthalpy!E92-287*$A92</f>
        <v>549649.04780000006</v>
      </c>
    </row>
    <row r="93" spans="1:5" x14ac:dyDescent="0.25">
      <c r="A93" s="1">
        <v>2500</v>
      </c>
      <c r="B93" s="1">
        <f>Air_enthalpy!B93-287*$A93</f>
        <v>642577.35800000001</v>
      </c>
      <c r="C93" s="1">
        <f>Air_enthalpy!C93-287*$A93</f>
        <v>590995.60400000005</v>
      </c>
      <c r="D93" s="1">
        <f>Air_enthalpy!D93-287*$A93</f>
        <v>578899.70990000013</v>
      </c>
      <c r="E93" s="1">
        <f>Air_enthalpy!E93-287*$A93</f>
        <v>575493.77429999993</v>
      </c>
    </row>
    <row r="94" spans="1:5" x14ac:dyDescent="0.25">
      <c r="A94" s="1">
        <v>2525</v>
      </c>
      <c r="B94" s="1">
        <f>Air_enthalpy!B94-287*$A94</f>
        <v>688763.43409999995</v>
      </c>
      <c r="C94" s="1">
        <f>Air_enthalpy!C94-287*$A94</f>
        <v>620947.57649999997</v>
      </c>
      <c r="D94" s="1">
        <f>Air_enthalpy!D94-287*$A94</f>
        <v>605646.92420000001</v>
      </c>
      <c r="E94" s="1">
        <f>Air_enthalpy!E94-287*$A94</f>
        <v>601420.88800000004</v>
      </c>
    </row>
    <row r="95" spans="1:5" x14ac:dyDescent="0.25">
      <c r="A95" s="1">
        <v>2550</v>
      </c>
      <c r="B95" s="1">
        <f>Air_enthalpy!B95-287*$A95</f>
        <v>741324.51539999992</v>
      </c>
      <c r="C95" s="1">
        <f>Air_enthalpy!C95-287*$A95</f>
        <v>652021.69200000004</v>
      </c>
      <c r="D95" s="1">
        <f>Air_enthalpy!D95-287*$A95</f>
        <v>632672.46809999994</v>
      </c>
      <c r="E95" s="1">
        <f>Air_enthalpy!E95-287*$A95</f>
        <v>627441.41269999999</v>
      </c>
    </row>
    <row r="96" spans="1:5" x14ac:dyDescent="0.25">
      <c r="A96" s="1">
        <v>2575</v>
      </c>
      <c r="B96" s="1">
        <f>Air_enthalpy!B96-287*$A96</f>
        <v>802274.72419999982</v>
      </c>
      <c r="C96" s="1">
        <f>Air_enthalpy!C96-287*$A96</f>
        <v>684500.39969999995</v>
      </c>
      <c r="D96" s="1">
        <f>Air_enthalpy!D96-287*$A96</f>
        <v>660029.76340000005</v>
      </c>
      <c r="E96" s="1">
        <f>Air_enthalpy!E96-287*$A96</f>
        <v>653568.37250000006</v>
      </c>
    </row>
    <row r="97" spans="1:5" x14ac:dyDescent="0.25">
      <c r="A97" s="1">
        <v>2600</v>
      </c>
      <c r="B97" s="1">
        <f>Air_enthalpy!B97-287*$A97</f>
        <v>874267.12630000012</v>
      </c>
      <c r="C97" s="1">
        <f>Air_enthalpy!C97-287*$A97</f>
        <v>718742.33060000022</v>
      </c>
      <c r="D97" s="1">
        <f>Air_enthalpy!D97-287*$A97</f>
        <v>687783.60950000002</v>
      </c>
      <c r="E97" s="1">
        <f>Air_enthalpy!E97-287*$A97</f>
        <v>679817.12400000007</v>
      </c>
    </row>
    <row r="98" spans="1:5" x14ac:dyDescent="0.25">
      <c r="A98" s="1">
        <v>2625</v>
      </c>
      <c r="B98" s="1">
        <f>Air_enthalpy!B98-287*$A98</f>
        <v>960787.47429999989</v>
      </c>
      <c r="C98" s="1">
        <f>Air_enthalpy!C98-287*$A98</f>
        <v>755203.40650000004</v>
      </c>
      <c r="D98" s="1">
        <f>Air_enthalpy!D98-287*$A98</f>
        <v>716012.73719999986</v>
      </c>
      <c r="E98" s="1">
        <f>Air_enthalpy!E98-287*$A98</f>
        <v>706205.74959999998</v>
      </c>
    </row>
    <row r="99" spans="1:5" x14ac:dyDescent="0.25">
      <c r="A99" s="1">
        <v>2650</v>
      </c>
      <c r="B99" s="1">
        <f>Air_enthalpy!B99-287*$A99</f>
        <v>1066401.1693</v>
      </c>
      <c r="C99" s="1">
        <f>Air_enthalpy!C99-287*$A99</f>
        <v>794463.65630000015</v>
      </c>
      <c r="D99" s="1">
        <f>Air_enthalpy!D99-287*$A99</f>
        <v>744812.97560000001</v>
      </c>
      <c r="E99" s="1">
        <f>Air_enthalpy!E99-287*$A99</f>
        <v>732755.52349999989</v>
      </c>
    </row>
    <row r="100" spans="1:5" x14ac:dyDescent="0.25">
      <c r="A100" s="1">
        <v>2675</v>
      </c>
      <c r="B100" s="1">
        <f>Air_enthalpy!B100-287*$A100</f>
        <v>1197065.5356999999</v>
      </c>
      <c r="C100" s="1">
        <f>Air_enthalpy!C100-287*$A100</f>
        <v>837261.15350000001</v>
      </c>
      <c r="D100" s="1">
        <f>Air_enthalpy!D100-287*$A100</f>
        <v>774301.17729999986</v>
      </c>
      <c r="E100" s="1">
        <f>Air_enthalpy!E100-287*$A100</f>
        <v>759491.46579999989</v>
      </c>
    </row>
    <row r="101" spans="1:5" x14ac:dyDescent="0.25">
      <c r="A101" s="1">
        <v>2700</v>
      </c>
      <c r="B101" s="1">
        <f>Air_enthalpy!B101-287*$A101</f>
        <v>1360521.0549999997</v>
      </c>
      <c r="C101" s="1">
        <f>Air_enthalpy!C101-287*$A101</f>
        <v>884534.78780000005</v>
      </c>
      <c r="D101" s="1">
        <f>Air_enthalpy!D101-287*$A101</f>
        <v>804620.08089999994</v>
      </c>
      <c r="E101" s="1">
        <f>Air_enthalpy!E101-287*$A101</f>
        <v>786443.00410000002</v>
      </c>
    </row>
    <row r="102" spans="1:5" x14ac:dyDescent="0.25">
      <c r="A102" s="1">
        <v>2725</v>
      </c>
      <c r="B102" s="1">
        <f>Air_enthalpy!B102-287*$A102</f>
        <v>1566776.2278</v>
      </c>
      <c r="C102" s="1">
        <f>Air_enthalpy!C102-287*$A102</f>
        <v>937477.92720000003</v>
      </c>
      <c r="D102" s="1">
        <f>Air_enthalpy!D102-287*$A102</f>
        <v>835944.32700000005</v>
      </c>
      <c r="E102" s="1">
        <f>Air_enthalpy!E102-287*$A102</f>
        <v>813644.76319999993</v>
      </c>
    </row>
    <row r="103" spans="1:5" x14ac:dyDescent="0.25">
      <c r="A103" s="1">
        <v>2750</v>
      </c>
      <c r="B103" s="1">
        <f>Air_enthalpy!B103-287*$A103</f>
        <v>1828700.5603</v>
      </c>
      <c r="C103" s="1">
        <f>Air_enthalpy!C103-287*$A103</f>
        <v>997605.4199000001</v>
      </c>
      <c r="D103" s="1">
        <f>Air_enthalpy!D103-287*$A103</f>
        <v>868487.88730000006</v>
      </c>
      <c r="E103" s="1">
        <f>Air_enthalpy!E103-287*$A103</f>
        <v>841137.51159999985</v>
      </c>
    </row>
    <row r="104" spans="1:5" x14ac:dyDescent="0.25">
      <c r="A104" s="1">
        <v>2775</v>
      </c>
      <c r="B104" s="1">
        <f>Air_enthalpy!B104-287*$A104</f>
        <v>2162737.7371999999</v>
      </c>
      <c r="C104" s="1">
        <f>Air_enthalpy!C104-287*$A104</f>
        <v>1066836.8133999999</v>
      </c>
      <c r="D104" s="1">
        <f>Air_enthalpy!D104-287*$A104</f>
        <v>902513.21950000012</v>
      </c>
      <c r="E104" s="1">
        <f>Air_enthalpy!E104-287*$A104</f>
        <v>868969.29530000011</v>
      </c>
    </row>
    <row r="105" spans="1:5" x14ac:dyDescent="0.25">
      <c r="A105" s="1">
        <v>2800</v>
      </c>
      <c r="B105" s="1">
        <f>Air_enthalpy!B105-287*$A105</f>
        <v>2589744.5824000002</v>
      </c>
      <c r="C105" s="1">
        <f>Air_enthalpy!C105-287*$A105</f>
        <v>1147599.1348999999</v>
      </c>
      <c r="D105" s="1">
        <f>Air_enthalpy!D105-287*$A105</f>
        <v>938342.52</v>
      </c>
      <c r="E105" s="1">
        <f>Air_enthalpy!E105-287*$A105</f>
        <v>897196.79820000008</v>
      </c>
    </row>
    <row r="106" spans="1:5" x14ac:dyDescent="0.25">
      <c r="A106" s="1">
        <v>2825</v>
      </c>
      <c r="B106" s="1">
        <f>Air_enthalpy!B106-287*$A106</f>
        <v>3135948.1738999998</v>
      </c>
      <c r="C106" s="1">
        <f>Air_enthalpy!C106-287*$A106</f>
        <v>1242953.0439000002</v>
      </c>
      <c r="D106" s="1">
        <f>Air_enthalpy!D106-287*$A106</f>
        <v>976371.51710000006</v>
      </c>
      <c r="E106" s="1">
        <f>Air_enthalpy!E106-287*$A106</f>
        <v>925886.97459999984</v>
      </c>
    </row>
    <row r="107" spans="1:5" x14ac:dyDescent="0.25">
      <c r="A107" s="1">
        <v>2850</v>
      </c>
      <c r="B107" s="1">
        <f>Air_enthalpy!B107-287*$A107</f>
        <v>3833989.2868000008</v>
      </c>
      <c r="C107" s="1">
        <f>Air_enthalpy!C107-287*$A107</f>
        <v>1356746.6022000001</v>
      </c>
      <c r="D107" s="1">
        <f>Air_enthalpy!D107-287*$A107</f>
        <v>1017086.324</v>
      </c>
      <c r="E107" s="1">
        <f>Air_enthalpy!E107-287*$A107</f>
        <v>955119.0074</v>
      </c>
    </row>
    <row r="108" spans="1:5" x14ac:dyDescent="0.25">
      <c r="A108" s="1">
        <v>2875</v>
      </c>
      <c r="B108" s="1">
        <f>Air_enthalpy!B108-287*$A108</f>
        <v>4723978.9944000002</v>
      </c>
      <c r="C108" s="1">
        <f>Air_enthalpy!C108-287*$A108</f>
        <v>1493801.2389000002</v>
      </c>
      <c r="D108" s="1">
        <f>Air_enthalpy!D108-287*$A108</f>
        <v>1061083.9631999999</v>
      </c>
      <c r="E108" s="1">
        <f>Air_enthalpy!E108-287*$A108</f>
        <v>984986.65599999996</v>
      </c>
    </row>
    <row r="109" spans="1:5" x14ac:dyDescent="0.25">
      <c r="A109" s="1">
        <v>2900</v>
      </c>
      <c r="B109" s="1">
        <f>Air_enthalpy!B109-287*$A109</f>
        <v>5854427.8659000006</v>
      </c>
      <c r="C109" s="1">
        <f>Air_enthalpy!C109-287*$A109</f>
        <v>1660134.5959999999</v>
      </c>
      <c r="D109" s="1">
        <f>Air_enthalpy!D109-287*$A109</f>
        <v>1109097.2699000002</v>
      </c>
      <c r="E109" s="1">
        <f>Air_enthalpy!E109-287*$A109</f>
        <v>1015601.0693000001</v>
      </c>
    </row>
    <row r="110" spans="1:5" x14ac:dyDescent="0.25">
      <c r="A110" s="1">
        <v>2925</v>
      </c>
      <c r="B110" s="1">
        <f>Air_enthalpy!B110-287*$A110</f>
        <v>7282801.0777000003</v>
      </c>
      <c r="C110" s="1">
        <f>Air_enthalpy!C110-287*$A110</f>
        <v>1863224.6592000001</v>
      </c>
      <c r="D110" s="1">
        <f>Air_enthalpy!D110-287*$A110</f>
        <v>1162024.9952</v>
      </c>
      <c r="E110" s="1">
        <f>Air_enthalpy!E110-287*$A110</f>
        <v>1047094.1501</v>
      </c>
    </row>
    <row r="111" spans="1:5" x14ac:dyDescent="0.25">
      <c r="A111" s="1">
        <v>2950</v>
      </c>
      <c r="B111" s="1">
        <f>Air_enthalpy!B111-287*$A111</f>
        <v>9075288.6459999997</v>
      </c>
      <c r="C111" s="1">
        <f>Air_enthalpy!C111-287*$A111</f>
        <v>2112318.6189000001</v>
      </c>
      <c r="D111" s="1">
        <f>Air_enthalpy!D111-287*$A111</f>
        <v>1220968.0424999997</v>
      </c>
      <c r="E111" s="1">
        <f>Air_enthalpy!E111-287*$A111</f>
        <v>1079622.5743</v>
      </c>
    </row>
    <row r="112" spans="1:5" x14ac:dyDescent="0.25">
      <c r="A112" s="1">
        <v>2975</v>
      </c>
      <c r="B112" s="1">
        <f>Air_enthalpy!B112-287*$A112</f>
        <v>11305121.429</v>
      </c>
      <c r="C112" s="1">
        <f>Air_enthalpy!C112-287*$A112</f>
        <v>2418787.8796999999</v>
      </c>
      <c r="D112" s="1">
        <f>Air_enthalpy!D112-287*$A112</f>
        <v>1287272.8964999998</v>
      </c>
      <c r="E112" s="1">
        <f>Air_enthalpy!E112-287*$A112</f>
        <v>1113372.5824000002</v>
      </c>
    </row>
    <row r="113" spans="1:5" x14ac:dyDescent="0.25">
      <c r="A113" s="1">
        <v>3000</v>
      </c>
      <c r="B113" s="1">
        <f>Air_enthalpy!B113-287*$A113</f>
        <v>14048309.124</v>
      </c>
      <c r="C113" s="1">
        <f>Air_enthalpy!C113-287*$A113</f>
        <v>2796526.9321999997</v>
      </c>
      <c r="D113" s="1">
        <f>Air_enthalpy!D113-287*$A113</f>
        <v>1362583.4221000001</v>
      </c>
      <c r="E113" s="1">
        <f>Air_enthalpy!E113-287*$A113</f>
        <v>1148565.6813000001</v>
      </c>
    </row>
    <row r="114" spans="1:5" x14ac:dyDescent="0.25">
      <c r="A114" s="1">
        <v>3025</v>
      </c>
      <c r="B114" s="1">
        <f>Air_enthalpy!B114-287*$A114</f>
        <v>17374619.184999999</v>
      </c>
      <c r="C114" s="1">
        <f>Air_enthalpy!C114-287*$A114</f>
        <v>3262387.5811999999</v>
      </c>
      <c r="D114" s="1">
        <f>Air_enthalpy!D114-287*$A114</f>
        <v>1448902.3239000002</v>
      </c>
      <c r="E114" s="1">
        <f>Air_enthalpy!E114-287*$A114</f>
        <v>1185465.4114000001</v>
      </c>
    </row>
    <row r="115" spans="1:5" x14ac:dyDescent="0.25">
      <c r="A115" s="1">
        <v>3050</v>
      </c>
      <c r="B115" s="1">
        <f>Air_enthalpy!B115-287*$A115</f>
        <v>21327694.314999998</v>
      </c>
      <c r="C115" s="1">
        <f>Air_enthalpy!C115-287*$A115</f>
        <v>3836630.1239999998</v>
      </c>
      <c r="D115" s="1">
        <f>Air_enthalpy!D115-287*$A115</f>
        <v>1548663.6432999996</v>
      </c>
      <c r="E115" s="1">
        <f>Air_enthalpy!E115-287*$A115</f>
        <v>1224385.3618000001</v>
      </c>
    </row>
    <row r="116" spans="1:5" x14ac:dyDescent="0.25">
      <c r="A116" s="1">
        <v>3075</v>
      </c>
      <c r="B116" s="1">
        <f>Air_enthalpy!B116-287*$A116</f>
        <v>25859689.404999997</v>
      </c>
      <c r="C116" s="1">
        <f>Air_enthalpy!C116-287*$A116</f>
        <v>4543357.9210000001</v>
      </c>
      <c r="D116" s="1">
        <f>Air_enthalpy!D116-287*$A116</f>
        <v>1664817.7138999999</v>
      </c>
      <c r="E116" s="1">
        <f>Air_enthalpy!E116-287*$A116</f>
        <v>1265698.6365</v>
      </c>
    </row>
    <row r="117" spans="1:5" x14ac:dyDescent="0.25">
      <c r="A117" s="1">
        <v>3100</v>
      </c>
      <c r="B117" s="1">
        <f>Air_enthalpy!B117-287*$A117</f>
        <v>25852514.404999997</v>
      </c>
      <c r="C117" s="1">
        <f>Air_enthalpy!C117-287*$A117</f>
        <v>5410879.3952000001</v>
      </c>
      <c r="D117" s="1">
        <f>Air_enthalpy!D117-287*$A117</f>
        <v>1800929.9600000004</v>
      </c>
      <c r="E117" s="1">
        <f>Air_enthalpy!E117-287*$A117</f>
        <v>1309849.0031999997</v>
      </c>
    </row>
    <row r="118" spans="1:5" x14ac:dyDescent="0.25">
      <c r="A118" s="1">
        <v>3125</v>
      </c>
      <c r="B118" s="1">
        <f>Air_enthalpy!B118-287*$A118</f>
        <v>25845339.404999997</v>
      </c>
      <c r="C118" s="1">
        <f>Air_enthalpy!C118-287*$A118</f>
        <v>6471909.3302999996</v>
      </c>
      <c r="D118" s="1">
        <f>Air_enthalpy!D118-287*$A118</f>
        <v>1961294.7712999997</v>
      </c>
      <c r="E118" s="1">
        <f>Air_enthalpy!E118-287*$A118</f>
        <v>1357363.9861000003</v>
      </c>
    </row>
    <row r="119" spans="1:5" x14ac:dyDescent="0.25">
      <c r="A119" s="1">
        <v>3150</v>
      </c>
      <c r="B119" s="1">
        <f>Air_enthalpy!B119-287*$A119</f>
        <v>25838164.404999997</v>
      </c>
      <c r="C119" s="1">
        <f>Air_enthalpy!C119-287*$A119</f>
        <v>7763476.2399000004</v>
      </c>
      <c r="D119" s="1">
        <f>Air_enthalpy!D119-287*$A119</f>
        <v>2151065.3424</v>
      </c>
      <c r="E119" s="1">
        <f>Air_enthalpy!E119-287*$A119</f>
        <v>1408870.1922000004</v>
      </c>
    </row>
    <row r="120" spans="1:5" x14ac:dyDescent="0.25">
      <c r="A120" s="1">
        <v>3175</v>
      </c>
      <c r="B120" s="1">
        <f>Air_enthalpy!B120-287*$A120</f>
        <v>25830989.404999997</v>
      </c>
      <c r="C120" s="1">
        <f>Air_enthalpy!C120-287*$A120</f>
        <v>9326340.0440000016</v>
      </c>
      <c r="D120" s="1">
        <f>Air_enthalpy!D120-287*$A120</f>
        <v>2376399.7486</v>
      </c>
      <c r="E120" s="1">
        <f>Air_enthalpy!E120-287*$A120</f>
        <v>1465111.1924000001</v>
      </c>
    </row>
    <row r="121" spans="1:5" x14ac:dyDescent="0.25">
      <c r="A121" s="1">
        <v>3200</v>
      </c>
      <c r="B121" s="1">
        <f>Air_enthalpy!B121-287*$A121</f>
        <v>25823814.404999997</v>
      </c>
      <c r="C121" s="1">
        <f>Air_enthalpy!C121-287*$A121</f>
        <v>11203635.17</v>
      </c>
      <c r="D121" s="1">
        <f>Air_enthalpy!D121-287*$A121</f>
        <v>2644622.5142999999</v>
      </c>
      <c r="E121" s="1">
        <f>Air_enthalpy!E121-287*$A121</f>
        <v>1526968.3064000001</v>
      </c>
    </row>
    <row r="122" spans="1:5" x14ac:dyDescent="0.25">
      <c r="A122" s="1">
        <v>3225</v>
      </c>
      <c r="B122" s="1">
        <f>Air_enthalpy!B122-287*$A122</f>
        <v>25816639.404999997</v>
      </c>
      <c r="C122" s="1">
        <f>Air_enthalpy!C122-287*$A122</f>
        <v>13438311.845999999</v>
      </c>
      <c r="D122" s="1">
        <f>Air_enthalpy!D122-287*$A122</f>
        <v>2964399.3398000002</v>
      </c>
      <c r="E122" s="1">
        <f>Air_enthalpy!E122-287*$A122</f>
        <v>1595484.6709000003</v>
      </c>
    </row>
    <row r="123" spans="1:5" x14ac:dyDescent="0.25">
      <c r="A123" s="1">
        <v>3250</v>
      </c>
      <c r="B123" s="1">
        <f>Air_enthalpy!B123-287*$A123</f>
        <v>25809464.404999997</v>
      </c>
      <c r="C123" s="1">
        <f>Air_enthalpy!C123-287*$A123</f>
        <v>16068655.506999999</v>
      </c>
      <c r="D123" s="1">
        <f>Air_enthalpy!D123-287*$A123</f>
        <v>3345920.2895</v>
      </c>
      <c r="E123" s="1">
        <f>Air_enthalpy!E123-287*$A123</f>
        <v>1671892.9877999998</v>
      </c>
    </row>
    <row r="124" spans="1:5" x14ac:dyDescent="0.25">
      <c r="A124" s="1">
        <v>3275</v>
      </c>
      <c r="B124" s="1">
        <f>Air_enthalpy!B124-287*$A124</f>
        <v>25802289.404999997</v>
      </c>
      <c r="C124" s="1">
        <f>Air_enthalpy!C124-287*$A124</f>
        <v>19120302.645</v>
      </c>
      <c r="D124" s="1">
        <f>Air_enthalpy!D124-287*$A124</f>
        <v>3801083.3103</v>
      </c>
      <c r="E124" s="1">
        <f>Air_enthalpy!E124-287*$A124</f>
        <v>1757647.3658000003</v>
      </c>
    </row>
    <row r="125" spans="1:5" x14ac:dyDescent="0.25">
      <c r="A125" s="1">
        <v>3300</v>
      </c>
      <c r="B125" s="1">
        <f>Air_enthalpy!B125-287*$A125</f>
        <v>25795114.404999997</v>
      </c>
      <c r="C125" s="1">
        <f>Air_enthalpy!C125-287*$A125</f>
        <v>22589430.748</v>
      </c>
      <c r="D125" s="1">
        <f>Air_enthalpy!D125-287*$A125</f>
        <v>4343665.1182000004</v>
      </c>
      <c r="E125" s="1">
        <f>Air_enthalpy!E125-287*$A125</f>
        <v>1854459.6627000002</v>
      </c>
    </row>
    <row r="126" spans="1:5" x14ac:dyDescent="0.25">
      <c r="A126" s="1">
        <v>3325</v>
      </c>
      <c r="B126" s="1">
        <f>Air_enthalpy!B126-287*$A126</f>
        <v>25787939.404999997</v>
      </c>
      <c r="C126" s="1">
        <f>Air_enthalpy!C126-287*$A126</f>
        <v>26382774.583000001</v>
      </c>
      <c r="D126" s="1">
        <f>Air_enthalpy!D126-287*$A126</f>
        <v>4989459.8781000003</v>
      </c>
      <c r="E126" s="1">
        <f>Air_enthalpy!E126-287*$A126</f>
        <v>1964340.7130999998</v>
      </c>
    </row>
    <row r="127" spans="1:5" x14ac:dyDescent="0.25">
      <c r="A127" s="1">
        <v>3350</v>
      </c>
      <c r="B127" s="1">
        <f>Air_enthalpy!B127-287*$A127</f>
        <v>25780764.404999997</v>
      </c>
      <c r="C127" s="1">
        <f>Air_enthalpy!C127-287*$A127</f>
        <v>26375599.583000001</v>
      </c>
      <c r="D127" s="1">
        <f>Air_enthalpy!D127-287*$A127</f>
        <v>5756357.2576000001</v>
      </c>
      <c r="E127" s="1">
        <f>Air_enthalpy!E127-287*$A127</f>
        <v>2089646.7694000001</v>
      </c>
    </row>
    <row r="128" spans="1:5" x14ac:dyDescent="0.25">
      <c r="A128" s="1">
        <v>3375</v>
      </c>
      <c r="B128" s="1">
        <f>Air_enthalpy!B128-287*$A128</f>
        <v>25773589.404999997</v>
      </c>
      <c r="C128" s="1">
        <f>Air_enthalpy!C128-287*$A128</f>
        <v>26368424.583000001</v>
      </c>
      <c r="D128" s="1">
        <f>Air_enthalpy!D128-287*$A128</f>
        <v>6664319.9670000002</v>
      </c>
      <c r="E128" s="1">
        <f>Air_enthalpy!E128-287*$A128</f>
        <v>2233131.3792000003</v>
      </c>
    </row>
    <row r="129" spans="1:5" x14ac:dyDescent="0.25">
      <c r="A129" s="1">
        <v>3400</v>
      </c>
      <c r="B129" s="1">
        <f>Air_enthalpy!B129-287*$A129</f>
        <v>25766414.404999997</v>
      </c>
      <c r="C129" s="1">
        <f>Air_enthalpy!C129-287*$A129</f>
        <v>26361249.583000001</v>
      </c>
      <c r="D129" s="1">
        <f>Air_enthalpy!D129-287*$A129</f>
        <v>7735206.3621000014</v>
      </c>
      <c r="E129" s="1">
        <f>Air_enthalpy!E129-287*$A129</f>
        <v>2398002.7553000003</v>
      </c>
    </row>
    <row r="130" spans="1:5" x14ac:dyDescent="0.25">
      <c r="A130" s="1">
        <v>3425</v>
      </c>
      <c r="B130" s="1">
        <f>Air_enthalpy!B130-287*$A130</f>
        <v>25759239.404999997</v>
      </c>
      <c r="C130" s="1">
        <f>Air_enthalpy!C130-287*$A130</f>
        <v>26354074.583000001</v>
      </c>
      <c r="D130" s="1">
        <f>Air_enthalpy!D130-287*$A130</f>
        <v>8992365.6307999995</v>
      </c>
      <c r="E130" s="1">
        <f>Air_enthalpy!E130-287*$A130</f>
        <v>2587986.4389</v>
      </c>
    </row>
    <row r="131" spans="1:5" x14ac:dyDescent="0.25">
      <c r="A131" s="1">
        <v>3450</v>
      </c>
      <c r="B131" s="1">
        <f>Air_enthalpy!B131-287*$A131</f>
        <v>25752064.404999997</v>
      </c>
      <c r="C131" s="1">
        <f>Air_enthalpy!C131-287*$A131</f>
        <v>26346899.583000001</v>
      </c>
      <c r="D131" s="1">
        <f>Air_enthalpy!D131-287*$A131</f>
        <v>10459910.455</v>
      </c>
      <c r="E131" s="1">
        <f>Air_enthalpy!E131-287*$A131</f>
        <v>2807392.6825999999</v>
      </c>
    </row>
    <row r="132" spans="1:5" x14ac:dyDescent="0.25">
      <c r="A132" s="1">
        <v>3475</v>
      </c>
      <c r="B132" s="1">
        <f>Air_enthalpy!B132-287*$A132</f>
        <v>25744889.404999997</v>
      </c>
      <c r="C132" s="1">
        <f>Air_enthalpy!C132-287*$A132</f>
        <v>26339724.583000001</v>
      </c>
      <c r="D132" s="1">
        <f>Air_enthalpy!D132-287*$A132</f>
        <v>12161541.436000001</v>
      </c>
      <c r="E132" s="1">
        <f>Air_enthalpy!E132-287*$A132</f>
        <v>3061187.4463000004</v>
      </c>
    </row>
    <row r="133" spans="1:5" x14ac:dyDescent="0.25">
      <c r="A133" s="1">
        <v>3500</v>
      </c>
      <c r="B133" s="1">
        <f>Air_enthalpy!B133-287*$A133</f>
        <v>25737714.404999997</v>
      </c>
      <c r="C133" s="1">
        <f>Air_enthalpy!C133-287*$A133</f>
        <v>26332549.583000001</v>
      </c>
      <c r="D133" s="1">
        <f>Air_enthalpy!D133-287*$A133</f>
        <v>14118747.142000001</v>
      </c>
      <c r="E133" s="1">
        <f>Air_enthalpy!E133-287*$A133</f>
        <v>3355065.1690000007</v>
      </c>
    </row>
    <row r="134" spans="1:5" x14ac:dyDescent="0.25">
      <c r="A134" s="1">
        <v>3525</v>
      </c>
      <c r="B134" s="1">
        <f>Air_enthalpy!B134-287*$A134</f>
        <v>25730539.404999997</v>
      </c>
      <c r="C134" s="1">
        <f>Air_enthalpy!C134-287*$A134</f>
        <v>26325374.583000001</v>
      </c>
      <c r="D134" s="1">
        <f>Air_enthalpy!D134-287*$A134</f>
        <v>16348092.083000001</v>
      </c>
      <c r="E134" s="1">
        <f>Air_enthalpy!E134-287*$A134</f>
        <v>3695520.4824000001</v>
      </c>
    </row>
    <row r="135" spans="1:5" x14ac:dyDescent="0.25">
      <c r="A135" s="1">
        <v>3550</v>
      </c>
      <c r="B135" s="1">
        <f>Air_enthalpy!B135-287*$A135</f>
        <v>25723364.404999997</v>
      </c>
      <c r="C135" s="1">
        <f>Air_enthalpy!C135-287*$A135</f>
        <v>26318199.583000001</v>
      </c>
      <c r="D135" s="1">
        <f>Air_enthalpy!D135-287*$A135</f>
        <v>18856978.627</v>
      </c>
      <c r="E135" s="1">
        <f>Air_enthalpy!E135-287*$A135</f>
        <v>4089914.7215</v>
      </c>
    </row>
    <row r="136" spans="1:5" x14ac:dyDescent="0.25">
      <c r="A136" s="1">
        <v>3575</v>
      </c>
      <c r="B136" s="1">
        <f>Air_enthalpy!B136-287*$A136</f>
        <v>25716189.404999997</v>
      </c>
      <c r="C136" s="1">
        <f>Air_enthalpy!C136-287*$A136</f>
        <v>26311024.583000001</v>
      </c>
      <c r="D136" s="1">
        <f>Air_enthalpy!D136-287*$A136</f>
        <v>21636054.108999997</v>
      </c>
      <c r="E136" s="1">
        <f>Air_enthalpy!E136-287*$A136</f>
        <v>4546531.3859999999</v>
      </c>
    </row>
    <row r="137" spans="1:5" x14ac:dyDescent="0.25">
      <c r="A137" s="1">
        <v>3600</v>
      </c>
      <c r="B137" s="1">
        <f>Air_enthalpy!B137-287*$A137</f>
        <v>25709014.404999997</v>
      </c>
      <c r="C137" s="1">
        <f>Air_enthalpy!C137-287*$A137</f>
        <v>26303849.583000001</v>
      </c>
      <c r="D137" s="1">
        <f>Air_enthalpy!D137-287*$A137</f>
        <v>24640190.515000001</v>
      </c>
      <c r="E137" s="1">
        <f>Air_enthalpy!E137-287*$A137</f>
        <v>5074612.5548999999</v>
      </c>
    </row>
    <row r="138" spans="1:5" x14ac:dyDescent="0.25">
      <c r="A138" s="1">
        <v>3625</v>
      </c>
      <c r="B138" s="1">
        <f>Air_enthalpy!B138-287*$A138</f>
        <v>25701839.404999997</v>
      </c>
      <c r="C138" s="1">
        <f>Air_enthalpy!C138-287*$A138</f>
        <v>26296674.583000001</v>
      </c>
      <c r="D138" s="1">
        <f>Air_enthalpy!D138-287*$A138</f>
        <v>27680004.579</v>
      </c>
      <c r="E138" s="1">
        <f>Air_enthalpy!E138-287*$A138</f>
        <v>5684365.6094999993</v>
      </c>
    </row>
    <row r="139" spans="1:5" x14ac:dyDescent="0.25">
      <c r="A139" s="1">
        <v>3650</v>
      </c>
      <c r="B139" s="1">
        <f>Air_enthalpy!B139-287*$A139</f>
        <v>25694664.404999997</v>
      </c>
      <c r="C139" s="1">
        <f>Air_enthalpy!C139-287*$A139</f>
        <v>26289499.583000001</v>
      </c>
      <c r="D139" s="1">
        <f>Air_enthalpy!D139-287*$A139</f>
        <v>27672829.579</v>
      </c>
      <c r="E139" s="1">
        <f>Air_enthalpy!E139-287*$A139</f>
        <v>6386926.4473999999</v>
      </c>
    </row>
    <row r="140" spans="1:5" x14ac:dyDescent="0.25">
      <c r="A140" s="1">
        <v>3675</v>
      </c>
      <c r="B140" s="1">
        <f>Air_enthalpy!B140-287*$A140</f>
        <v>25687489.404999997</v>
      </c>
      <c r="C140" s="1">
        <f>Air_enthalpy!C140-287*$A140</f>
        <v>26282324.583000001</v>
      </c>
      <c r="D140" s="1">
        <f>Air_enthalpy!D140-287*$A140</f>
        <v>27665654.579</v>
      </c>
      <c r="E140" s="1">
        <f>Air_enthalpy!E140-287*$A140</f>
        <v>7194261.7073000008</v>
      </c>
    </row>
    <row r="141" spans="1:5" x14ac:dyDescent="0.25">
      <c r="A141" s="1">
        <v>3700</v>
      </c>
      <c r="B141" s="1">
        <f>Air_enthalpy!B141-287*$A141</f>
        <v>25680314.404999997</v>
      </c>
      <c r="C141" s="1">
        <f>Air_enthalpy!C141-287*$A141</f>
        <v>26275149.583000001</v>
      </c>
      <c r="D141" s="1">
        <f>Air_enthalpy!D141-287*$A141</f>
        <v>27658479.579</v>
      </c>
      <c r="E141" s="1">
        <f>Air_enthalpy!E141-287*$A141</f>
        <v>8118988.4434999991</v>
      </c>
    </row>
    <row r="142" spans="1:5" x14ac:dyDescent="0.25">
      <c r="A142" s="1">
        <v>3725</v>
      </c>
      <c r="B142" s="1">
        <f>Air_enthalpy!B142-287*$A142</f>
        <v>25673139.404999997</v>
      </c>
      <c r="C142" s="1">
        <f>Air_enthalpy!C142-287*$A142</f>
        <v>26267974.583000001</v>
      </c>
      <c r="D142" s="1">
        <f>Air_enthalpy!D142-287*$A142</f>
        <v>27651304.579</v>
      </c>
      <c r="E142" s="1">
        <f>Air_enthalpy!E142-287*$A142</f>
        <v>9174085.3080000002</v>
      </c>
    </row>
    <row r="143" spans="1:5" x14ac:dyDescent="0.25">
      <c r="A143" s="1">
        <v>3750</v>
      </c>
      <c r="B143" s="1">
        <f>Air_enthalpy!B143-287*$A143</f>
        <v>25665964.404999997</v>
      </c>
      <c r="C143" s="1">
        <f>Air_enthalpy!C143-287*$A143</f>
        <v>26260799.583000001</v>
      </c>
      <c r="D143" s="1">
        <f>Air_enthalpy!D143-287*$A143</f>
        <v>27644129.579</v>
      </c>
      <c r="E143" s="1">
        <f>Air_enthalpy!E143-287*$A143</f>
        <v>10372464.663000001</v>
      </c>
    </row>
    <row r="144" spans="1:5" x14ac:dyDescent="0.25">
      <c r="A144" s="1">
        <v>3775</v>
      </c>
      <c r="B144" s="1">
        <f>Air_enthalpy!B144-287*$A144</f>
        <v>25658789.404999997</v>
      </c>
      <c r="C144" s="1">
        <f>Air_enthalpy!C144-287*$A144</f>
        <v>26253624.583000001</v>
      </c>
      <c r="D144" s="1">
        <f>Air_enthalpy!D144-287*$A144</f>
        <v>27636954.579</v>
      </c>
      <c r="E144" s="1">
        <f>Air_enthalpy!E144-287*$A144</f>
        <v>11726369.771000002</v>
      </c>
    </row>
    <row r="145" spans="1:5" x14ac:dyDescent="0.25">
      <c r="A145" s="1">
        <v>3800</v>
      </c>
      <c r="B145" s="1">
        <f>Air_enthalpy!B145-287*$A145</f>
        <v>25651614.404999997</v>
      </c>
      <c r="C145" s="1">
        <f>Air_enthalpy!C145-287*$A145</f>
        <v>26246449.583000001</v>
      </c>
      <c r="D145" s="1">
        <f>Air_enthalpy!D145-287*$A145</f>
        <v>27629779.579</v>
      </c>
      <c r="E145" s="1">
        <f>Air_enthalpy!E145-287*$A145</f>
        <v>13246553.627</v>
      </c>
    </row>
    <row r="146" spans="1:5" x14ac:dyDescent="0.25">
      <c r="A146" s="1">
        <v>3825</v>
      </c>
      <c r="B146" s="1">
        <f>Air_enthalpy!B146-287*$A146</f>
        <v>25644439.404999997</v>
      </c>
      <c r="C146" s="1">
        <f>Air_enthalpy!C146-287*$A146</f>
        <v>26239274.583000001</v>
      </c>
      <c r="D146" s="1">
        <f>Air_enthalpy!D146-287*$A146</f>
        <v>27622604.579</v>
      </c>
      <c r="E146" s="1">
        <f>Air_enthalpy!E146-287*$A146</f>
        <v>14941180.393000001</v>
      </c>
    </row>
    <row r="147" spans="1:5" x14ac:dyDescent="0.25">
      <c r="A147" s="1">
        <v>3850</v>
      </c>
      <c r="B147" s="1">
        <f>Air_enthalpy!B147-287*$A147</f>
        <v>25637264.404999997</v>
      </c>
      <c r="C147" s="1">
        <f>Air_enthalpy!C147-287*$A147</f>
        <v>26232099.583000001</v>
      </c>
      <c r="D147" s="1">
        <f>Air_enthalpy!D147-287*$A147</f>
        <v>27615429.579</v>
      </c>
      <c r="E147" s="1">
        <f>Air_enthalpy!E147-287*$A147</f>
        <v>16814349.829999998</v>
      </c>
    </row>
    <row r="148" spans="1:5" x14ac:dyDescent="0.25">
      <c r="A148" s="1">
        <v>3875</v>
      </c>
      <c r="B148" s="1">
        <f>Air_enthalpy!B148-287*$A148</f>
        <v>25630089.404999997</v>
      </c>
      <c r="C148" s="1">
        <f>Air_enthalpy!C148-287*$A148</f>
        <v>26224924.583000001</v>
      </c>
      <c r="D148" s="1">
        <f>Air_enthalpy!D148-287*$A148</f>
        <v>27608254.579</v>
      </c>
      <c r="E148" s="1">
        <f>Air_enthalpy!E148-287*$A148</f>
        <v>18864025.480999999</v>
      </c>
    </row>
    <row r="149" spans="1:5" x14ac:dyDescent="0.25">
      <c r="A149" s="1">
        <v>3900</v>
      </c>
      <c r="B149" s="1">
        <f>Air_enthalpy!B149-287*$A149</f>
        <v>25622914.404999997</v>
      </c>
      <c r="C149" s="1">
        <f>Air_enthalpy!C149-287*$A149</f>
        <v>26217749.583000001</v>
      </c>
      <c r="D149" s="1">
        <f>Air_enthalpy!D149-287*$A149</f>
        <v>27601079.579</v>
      </c>
      <c r="E149" s="1">
        <f>Air_enthalpy!E149-287*$A149</f>
        <v>21078756.347999997</v>
      </c>
    </row>
    <row r="150" spans="1:5" x14ac:dyDescent="0.25">
      <c r="A150" s="1">
        <v>3925</v>
      </c>
      <c r="B150" s="1">
        <f>Air_enthalpy!B150-287*$A150</f>
        <v>25615739.404999997</v>
      </c>
      <c r="C150" s="1">
        <f>Air_enthalpy!C150-287*$A150</f>
        <v>26210574.583000001</v>
      </c>
      <c r="D150" s="1">
        <f>Air_enthalpy!D150-287*$A150</f>
        <v>27593904.579</v>
      </c>
      <c r="E150" s="1">
        <f>Air_enthalpy!E150-287*$A150</f>
        <v>23431053.272999998</v>
      </c>
    </row>
    <row r="151" spans="1:5" x14ac:dyDescent="0.25">
      <c r="A151" s="1">
        <v>3950</v>
      </c>
      <c r="B151" s="1">
        <f>Air_enthalpy!B151-287*$A151</f>
        <v>25608564.404999997</v>
      </c>
      <c r="C151" s="1">
        <f>Air_enthalpy!C151-287*$A151</f>
        <v>26203399.583000001</v>
      </c>
      <c r="D151" s="1">
        <f>Air_enthalpy!D151-287*$A151</f>
        <v>27586729.579</v>
      </c>
      <c r="E151" s="1">
        <f>Air_enthalpy!E151-287*$A151</f>
        <v>25856749.352000002</v>
      </c>
    </row>
    <row r="152" spans="1:5" x14ac:dyDescent="0.25">
      <c r="A152" s="1">
        <v>3975</v>
      </c>
      <c r="B152" s="1">
        <f>Air_enthalpy!B152-287*$A152</f>
        <v>25601389.404999997</v>
      </c>
      <c r="C152" s="1">
        <f>Air_enthalpy!C152-287*$A152</f>
        <v>26196224.583000001</v>
      </c>
      <c r="D152" s="1">
        <f>Air_enthalpy!D152-287*$A152</f>
        <v>27579554.579</v>
      </c>
      <c r="E152" s="1">
        <f>Air_enthalpy!E152-287*$A152</f>
        <v>25849574.352000002</v>
      </c>
    </row>
    <row r="153" spans="1:5" x14ac:dyDescent="0.25">
      <c r="A153" s="1">
        <v>4000</v>
      </c>
      <c r="B153" s="1">
        <f>Air_enthalpy!B153-287*$A153</f>
        <v>25594214.404999997</v>
      </c>
      <c r="C153" s="1">
        <f>Air_enthalpy!C153-287*$A153</f>
        <v>26189049.583000001</v>
      </c>
      <c r="D153" s="1">
        <f>Air_enthalpy!D153-287*$A153</f>
        <v>27572379.579</v>
      </c>
      <c r="E153" s="1">
        <f>Air_enthalpy!E153-287*$A153</f>
        <v>25842399.352000002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C256-36E0-4E56-A453-14AD9962B1B6}">
  <dimension ref="A1:M152"/>
  <sheetViews>
    <sheetView zoomScale="85" zoomScaleNormal="85" workbookViewId="0">
      <selection activeCell="A2" sqref="A2:XFD2"/>
    </sheetView>
  </sheetViews>
  <sheetFormatPr defaultRowHeight="15" x14ac:dyDescent="0.25"/>
  <cols>
    <col min="1" max="1" width="11.85546875" bestFit="1" customWidth="1"/>
    <col min="2" max="2" width="24.85546875" bestFit="1" customWidth="1"/>
    <col min="3" max="3" width="23.5703125" bestFit="1" customWidth="1"/>
    <col min="4" max="4" width="22.28515625" bestFit="1" customWidth="1"/>
    <col min="5" max="5" width="20.140625" bestFit="1" customWidth="1"/>
    <col min="6" max="6" width="28.5703125" bestFit="1" customWidth="1"/>
    <col min="7" max="7" width="27.140625" bestFit="1" customWidth="1"/>
    <col min="8" max="8" width="25.7109375" bestFit="1" customWidth="1"/>
    <col min="9" max="9" width="23.7109375" bestFit="1" customWidth="1"/>
    <col min="10" max="10" width="22.85546875" bestFit="1" customWidth="1"/>
    <col min="11" max="11" width="21.85546875" bestFit="1" customWidth="1"/>
    <col min="12" max="12" width="20.42578125" bestFit="1" customWidth="1"/>
    <col min="13" max="13" width="18.42578125" bestFit="1" customWidth="1"/>
  </cols>
  <sheetData>
    <row r="1" spans="1:13" x14ac:dyDescent="0.25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 t="s">
        <v>5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</row>
    <row r="2" spans="1:13" x14ac:dyDescent="0.25">
      <c r="A2" s="1">
        <v>250</v>
      </c>
      <c r="B2">
        <v>-2680985.5233</v>
      </c>
      <c r="C2">
        <v>-2680985.5233</v>
      </c>
      <c r="D2">
        <v>-2680985.5233</v>
      </c>
      <c r="E2">
        <v>-2680985.5233</v>
      </c>
      <c r="F2" s="1">
        <f>(0.001*101300)/(287*$A2)</f>
        <v>1.4118466898954704E-3</v>
      </c>
      <c r="G2" s="1">
        <f>(0.01*101300)/(287*$A2)</f>
        <v>1.4118466898954704E-2</v>
      </c>
      <c r="H2" s="1">
        <f>(0.1*101300)/(287*$A2)</f>
        <v>0.14118466898954704</v>
      </c>
      <c r="I2" s="1">
        <f>(1*101300)/(287*$A2)</f>
        <v>1.4118466898954705</v>
      </c>
      <c r="J2" s="1">
        <f>B2-287*$A2</f>
        <v>-2752735.5233</v>
      </c>
      <c r="K2" s="1">
        <f>C2-287*$A2</f>
        <v>-2752735.5233</v>
      </c>
      <c r="L2" s="1">
        <f>D2-287*$A2</f>
        <v>-2752735.5233</v>
      </c>
      <c r="M2" s="1">
        <f>E2-287*$A2</f>
        <v>-2752735.5233</v>
      </c>
    </row>
    <row r="3" spans="1:13" x14ac:dyDescent="0.25">
      <c r="A3" s="1">
        <v>275</v>
      </c>
      <c r="B3">
        <v>-2656727.0211</v>
      </c>
      <c r="C3">
        <v>-2656727.0211999998</v>
      </c>
      <c r="D3">
        <v>-2656727.0211999998</v>
      </c>
      <c r="E3">
        <v>-2656727.0211999998</v>
      </c>
      <c r="F3" s="1">
        <f>(0.001*101300)/(287*A3)</f>
        <v>1.2834969908140639E-3</v>
      </c>
      <c r="G3" s="1">
        <f>(0.01*101300)/(287*$A3)</f>
        <v>1.2834969908140641E-2</v>
      </c>
      <c r="H3" s="1">
        <f>(0.1*101300)/(287*$A3)</f>
        <v>0.12834969908140639</v>
      </c>
      <c r="I3" s="1">
        <f>(1*101300)/(287*$A3)</f>
        <v>1.2834969908140639</v>
      </c>
      <c r="J3" s="1">
        <f>B3-287*$A3</f>
        <v>-2735652.0211</v>
      </c>
      <c r="K3" s="1">
        <f>C3-287*$A3</f>
        <v>-2735652.0211999998</v>
      </c>
      <c r="L3" s="1">
        <f>D3-287*$A3</f>
        <v>-2735652.0211999998</v>
      </c>
      <c r="M3" s="1">
        <f>E3-287*$A3</f>
        <v>-2735652.0211999998</v>
      </c>
    </row>
    <row r="4" spans="1:13" x14ac:dyDescent="0.25">
      <c r="A4" s="1">
        <v>300</v>
      </c>
      <c r="B4">
        <v>-2632263.5838000001</v>
      </c>
      <c r="C4">
        <v>-2632263.585</v>
      </c>
      <c r="D4">
        <v>-2632263.5854000002</v>
      </c>
      <c r="E4">
        <v>-2632263.5855</v>
      </c>
      <c r="F4" s="1">
        <f>(0.001*101300)/(287*A4)</f>
        <v>1.1765389082462254E-3</v>
      </c>
      <c r="G4" s="1">
        <f>(0.01*101300)/(287*$A4)</f>
        <v>1.1765389082462253E-2</v>
      </c>
      <c r="H4" s="1">
        <f>(0.1*101300)/(287*$A4)</f>
        <v>0.11765389082462253</v>
      </c>
      <c r="I4" s="1">
        <f>(1*101300)/(287*$A4)</f>
        <v>1.1765389082462254</v>
      </c>
      <c r="J4" s="1">
        <f>B4-287*$A4</f>
        <v>-2718363.5838000001</v>
      </c>
      <c r="K4" s="1">
        <f>C4-287*$A4</f>
        <v>-2718363.585</v>
      </c>
      <c r="L4" s="1">
        <f>D4-287*$A4</f>
        <v>-2718363.5854000002</v>
      </c>
      <c r="M4" s="1">
        <f>E4-287*$A4</f>
        <v>-2718363.5855</v>
      </c>
    </row>
    <row r="5" spans="1:13" x14ac:dyDescent="0.25">
      <c r="A5" s="1">
        <v>325</v>
      </c>
      <c r="B5">
        <v>-2607601.5087000001</v>
      </c>
      <c r="C5">
        <v>-2607601.5260999999</v>
      </c>
      <c r="D5">
        <v>-2607601.5315999999</v>
      </c>
      <c r="E5">
        <v>-2607601.5334000001</v>
      </c>
      <c r="F5" s="1">
        <f>(0.001*101300)/(287*A5)</f>
        <v>1.086035915304208E-3</v>
      </c>
      <c r="G5" s="1">
        <f>(0.01*101300)/(287*$A5)</f>
        <v>1.0860359153042081E-2</v>
      </c>
      <c r="H5" s="1">
        <f>(0.1*101300)/(287*$A5)</f>
        <v>0.1086035915304208</v>
      </c>
      <c r="I5" s="1">
        <f>(1*101300)/(287*$A5)</f>
        <v>1.0860359153042081</v>
      </c>
      <c r="J5" s="1">
        <f>B5-287*$A5</f>
        <v>-2700876.5087000001</v>
      </c>
      <c r="K5" s="1">
        <f>C5-287*$A5</f>
        <v>-2700876.5260999999</v>
      </c>
      <c r="L5" s="1">
        <f>D5-287*$A5</f>
        <v>-2700876.5315999999</v>
      </c>
      <c r="M5" s="1">
        <f>E5-287*$A5</f>
        <v>-2700876.5334000001</v>
      </c>
    </row>
    <row r="6" spans="1:13" x14ac:dyDescent="0.25">
      <c r="A6" s="1">
        <v>350</v>
      </c>
      <c r="B6">
        <v>-2582745.7103000004</v>
      </c>
      <c r="C6">
        <v>-2582745.8816</v>
      </c>
      <c r="D6">
        <v>-2582745.9358000001</v>
      </c>
      <c r="E6">
        <v>-2582745.9530000002</v>
      </c>
      <c r="F6" s="1">
        <f>(0.001*101300)/(287*A6)</f>
        <v>1.0084619213539074E-3</v>
      </c>
      <c r="G6" s="1">
        <f>(0.01*101300)/(287*$A6)</f>
        <v>1.0084619213539075E-2</v>
      </c>
      <c r="H6" s="1">
        <f>(0.1*101300)/(287*$A6)</f>
        <v>0.10084619213539074</v>
      </c>
      <c r="I6" s="1">
        <f>(1*101300)/(287*$A6)</f>
        <v>1.0084619213539074</v>
      </c>
      <c r="J6" s="1">
        <f>B6-287*$A6</f>
        <v>-2683195.7103000004</v>
      </c>
      <c r="K6" s="1">
        <f>C6-287*$A6</f>
        <v>-2683195.8816</v>
      </c>
      <c r="L6" s="1">
        <f>D6-287*$A6</f>
        <v>-2683195.9358000001</v>
      </c>
      <c r="M6" s="1">
        <f>E6-287*$A6</f>
        <v>-2683195.9530000002</v>
      </c>
    </row>
    <row r="7" spans="1:13" x14ac:dyDescent="0.25">
      <c r="A7" s="1">
        <v>375</v>
      </c>
      <c r="B7">
        <v>-2557698.3611999997</v>
      </c>
      <c r="C7">
        <v>-2557699.6064999998</v>
      </c>
      <c r="D7">
        <v>-2557700.0003</v>
      </c>
      <c r="E7">
        <v>-2557700.1249000002</v>
      </c>
      <c r="F7" s="1">
        <f>(0.001*101300)/(287*A7)</f>
        <v>9.4123112659698024E-4</v>
      </c>
      <c r="G7" s="1">
        <f>(0.01*101300)/(287*$A7)</f>
        <v>9.4123112659698031E-3</v>
      </c>
      <c r="H7" s="1">
        <f>(0.1*101300)/(287*$A7)</f>
        <v>9.4123112659698027E-2</v>
      </c>
      <c r="I7" s="1">
        <f>(1*101300)/(287*$A7)</f>
        <v>0.94123112659698027</v>
      </c>
      <c r="J7" s="1">
        <f>B7-287*$A7</f>
        <v>-2665323.3611999997</v>
      </c>
      <c r="K7" s="1">
        <f>C7-287*$A7</f>
        <v>-2665324.6064999998</v>
      </c>
      <c r="L7" s="1">
        <f>D7-287*$A7</f>
        <v>-2665325.0003</v>
      </c>
      <c r="M7" s="1">
        <f>E7-287*$A7</f>
        <v>-2665325.1249000002</v>
      </c>
    </row>
    <row r="8" spans="1:13" x14ac:dyDescent="0.25">
      <c r="A8" s="1">
        <v>400</v>
      </c>
      <c r="B8">
        <v>-2532455.4813000001</v>
      </c>
      <c r="C8">
        <v>-2532462.5574000003</v>
      </c>
      <c r="D8">
        <v>-2532464.7949999999</v>
      </c>
      <c r="E8">
        <v>-2532465.5027000001</v>
      </c>
      <c r="F8" s="1">
        <f>(0.001*101300)/(287*A8)</f>
        <v>8.8240418118466898E-4</v>
      </c>
      <c r="G8" s="1">
        <f>(0.01*101300)/(287*$A8)</f>
        <v>8.8240418118466901E-3</v>
      </c>
      <c r="H8" s="1">
        <f>(0.1*101300)/(287*$A8)</f>
        <v>8.8240418118466904E-2</v>
      </c>
      <c r="I8" s="1">
        <f>(1*101300)/(287*$A8)</f>
        <v>0.88240418118466901</v>
      </c>
      <c r="J8" s="1">
        <f>B8-287*$A8</f>
        <v>-2647255.4813000001</v>
      </c>
      <c r="K8" s="1">
        <f>C8-287*$A8</f>
        <v>-2647262.5574000003</v>
      </c>
      <c r="L8" s="1">
        <f>D8-287*$A8</f>
        <v>-2647264.7949999999</v>
      </c>
      <c r="M8" s="1">
        <f>E8-287*$A8</f>
        <v>-2647265.5027000001</v>
      </c>
    </row>
    <row r="9" spans="1:13" x14ac:dyDescent="0.25">
      <c r="A9" s="1">
        <v>425</v>
      </c>
      <c r="B9">
        <v>-2506995.1867</v>
      </c>
      <c r="C9">
        <v>-2507028.0003</v>
      </c>
      <c r="D9">
        <v>-2507038.3771000002</v>
      </c>
      <c r="E9">
        <v>-2507041.6584999999</v>
      </c>
      <c r="F9" s="1">
        <f>(0.001*101300)/(287*A9)</f>
        <v>8.3049805287968841E-4</v>
      </c>
      <c r="G9" s="1">
        <f>(0.01*101300)/(287*$A9)</f>
        <v>8.3049805287968848E-3</v>
      </c>
      <c r="H9" s="1">
        <f>(0.1*101300)/(287*$A9)</f>
        <v>8.3049805287968848E-2</v>
      </c>
      <c r="I9" s="1">
        <f>(1*101300)/(287*$A9)</f>
        <v>0.83049805287968848</v>
      </c>
      <c r="J9" s="1">
        <f>B9-287*$A9</f>
        <v>-2628970.1867</v>
      </c>
      <c r="K9" s="1">
        <f>C9-287*$A9</f>
        <v>-2629003.0003</v>
      </c>
      <c r="L9" s="1">
        <f>D9-287*$A9</f>
        <v>-2629013.3771000002</v>
      </c>
      <c r="M9" s="1">
        <f>E9-287*$A9</f>
        <v>-2629016.6584999999</v>
      </c>
    </row>
    <row r="10" spans="1:13" x14ac:dyDescent="0.25">
      <c r="A10" s="1">
        <v>450</v>
      </c>
      <c r="B10">
        <v>-2481243.7187999999</v>
      </c>
      <c r="C10">
        <v>-2481372.1294999998</v>
      </c>
      <c r="D10">
        <v>-2481412.7388000004</v>
      </c>
      <c r="E10">
        <v>-2481425.5808999999</v>
      </c>
      <c r="F10" s="1">
        <f>(0.001*101300)/(287*A10)</f>
        <v>7.8435927216415015E-4</v>
      </c>
      <c r="G10" s="1">
        <f>(0.01*101300)/(287*$A10)</f>
        <v>7.8435927216415017E-3</v>
      </c>
      <c r="H10" s="1">
        <f>(0.1*101300)/(287*$A10)</f>
        <v>7.8435927216415027E-2</v>
      </c>
      <c r="I10" s="1">
        <f>(1*101300)/(287*$A10)</f>
        <v>0.78435927216415025</v>
      </c>
      <c r="J10" s="1">
        <f>B10-287*$A10</f>
        <v>-2610393.7187999999</v>
      </c>
      <c r="K10" s="1">
        <f>C10-287*$A10</f>
        <v>-2610522.1294999998</v>
      </c>
      <c r="L10" s="1">
        <f>D10-287*$A10</f>
        <v>-2610562.7388000004</v>
      </c>
      <c r="M10" s="1">
        <f>E10-287*$A10</f>
        <v>-2610575.5808999999</v>
      </c>
    </row>
    <row r="11" spans="1:13" x14ac:dyDescent="0.25">
      <c r="A11" s="1">
        <v>475</v>
      </c>
      <c r="B11">
        <v>-2454992.7201</v>
      </c>
      <c r="C11">
        <v>-2455428.1381000001</v>
      </c>
      <c r="D11">
        <v>-2455565.8567999997</v>
      </c>
      <c r="E11">
        <v>-2455609.4099000003</v>
      </c>
      <c r="F11" s="1">
        <f>(0.001*101300)/(287*A11)</f>
        <v>7.4307720520814234E-4</v>
      </c>
      <c r="G11" s="1">
        <f>(0.01*101300)/(287*$A11)</f>
        <v>7.4307720520814229E-3</v>
      </c>
      <c r="H11" s="1">
        <f>(0.1*101300)/(287*$A11)</f>
        <v>7.4307720520814233E-2</v>
      </c>
      <c r="I11" s="1">
        <f>(1*101300)/(287*$A11)</f>
        <v>0.74307720520814236</v>
      </c>
      <c r="J11" s="1">
        <f>B11-287*$A11</f>
        <v>-2591317.7201</v>
      </c>
      <c r="K11" s="1">
        <f>C11-287*$A11</f>
        <v>-2591753.1381000001</v>
      </c>
      <c r="L11" s="1">
        <f>D11-287*$A11</f>
        <v>-2591890.8567999997</v>
      </c>
      <c r="M11" s="1">
        <f>E11-287*$A11</f>
        <v>-2591934.4099000003</v>
      </c>
    </row>
    <row r="12" spans="1:13" x14ac:dyDescent="0.25">
      <c r="A12" s="1">
        <v>500</v>
      </c>
      <c r="B12">
        <v>-2427724.6022999999</v>
      </c>
      <c r="C12">
        <v>-2429031.0659000003</v>
      </c>
      <c r="D12">
        <v>-2429444.4521999997</v>
      </c>
      <c r="E12">
        <v>-2429575.2011000002</v>
      </c>
      <c r="F12" s="1">
        <f>(0.001*101300)/(287*A12)</f>
        <v>7.0592334494773521E-4</v>
      </c>
      <c r="G12" s="1">
        <f>(0.01*101300)/(287*$A12)</f>
        <v>7.0592334494773519E-3</v>
      </c>
      <c r="H12" s="1">
        <f>(0.1*101300)/(287*$A12)</f>
        <v>7.059233449477352E-2</v>
      </c>
      <c r="I12" s="1">
        <f>(1*101300)/(287*$A12)</f>
        <v>0.70592334494773523</v>
      </c>
      <c r="J12" s="1">
        <f>B12-287*$A12</f>
        <v>-2571224.6022999999</v>
      </c>
      <c r="K12" s="1">
        <f>C12-287*$A12</f>
        <v>-2572531.0659000003</v>
      </c>
      <c r="L12" s="1">
        <f>D12-287*$A12</f>
        <v>-2572944.4521999997</v>
      </c>
      <c r="M12" s="1">
        <f>E12-287*$A12</f>
        <v>-2573075.2011000002</v>
      </c>
    </row>
    <row r="13" spans="1:13" x14ac:dyDescent="0.25">
      <c r="A13" s="1">
        <v>525</v>
      </c>
      <c r="B13">
        <v>-2398286.8658000003</v>
      </c>
      <c r="C13">
        <v>-2401814.0781</v>
      </c>
      <c r="D13">
        <v>-2402931.2801999999</v>
      </c>
      <c r="E13">
        <v>-2403284.7505000001</v>
      </c>
      <c r="F13" s="1">
        <f>(0.001*101300)/(287*A13)</f>
        <v>6.7230794756927155E-4</v>
      </c>
      <c r="G13" s="1">
        <f>(0.01*101300)/(287*$A13)</f>
        <v>6.723079475692716E-3</v>
      </c>
      <c r="H13" s="1">
        <f>(0.1*101300)/(287*$A13)</f>
        <v>6.7230794756927156E-2</v>
      </c>
      <c r="I13" s="1">
        <f>(1*101300)/(287*$A13)</f>
        <v>0.67230794756927159</v>
      </c>
      <c r="J13" s="1">
        <f>B13-287*$A13</f>
        <v>-2548961.8658000003</v>
      </c>
      <c r="K13" s="1">
        <f>C13-287*$A13</f>
        <v>-2552489.0781</v>
      </c>
      <c r="L13" s="1">
        <f>D13-287*$A13</f>
        <v>-2553606.2801999999</v>
      </c>
      <c r="M13" s="1">
        <f>E13-287*$A13</f>
        <v>-2553959.7505000001</v>
      </c>
    </row>
    <row r="14" spans="1:13" x14ac:dyDescent="0.25">
      <c r="A14" s="1">
        <v>550</v>
      </c>
      <c r="B14">
        <v>-2364351.9915</v>
      </c>
      <c r="C14">
        <v>-2373033.1763999998</v>
      </c>
      <c r="D14">
        <v>-2375789.3749000002</v>
      </c>
      <c r="E14">
        <v>-2376662.0590000004</v>
      </c>
      <c r="F14" s="1">
        <f>(0.001*101300)/(287*A14)</f>
        <v>6.4174849540703195E-4</v>
      </c>
      <c r="G14" s="1">
        <f>(0.01*101300)/(287*$A14)</f>
        <v>6.4174849540703204E-3</v>
      </c>
      <c r="H14" s="1">
        <f>(0.1*101300)/(287*$A14)</f>
        <v>6.4174849540703197E-2</v>
      </c>
      <c r="I14" s="1">
        <f>(1*101300)/(287*$A14)</f>
        <v>0.64174849540703194</v>
      </c>
      <c r="J14" s="1">
        <f>B14-287*$A14</f>
        <v>-2522201.9915</v>
      </c>
      <c r="K14" s="1">
        <f>C14-287*$A14</f>
        <v>-2530883.1763999998</v>
      </c>
      <c r="L14" s="1">
        <f>D14-287*$A14</f>
        <v>-2533639.3749000002</v>
      </c>
      <c r="M14" s="1">
        <f>E14-287*$A14</f>
        <v>-2534512.0590000004</v>
      </c>
    </row>
    <row r="15" spans="1:13" x14ac:dyDescent="0.25">
      <c r="A15" s="1">
        <v>575</v>
      </c>
      <c r="B15">
        <v>-2321632.6052000001</v>
      </c>
      <c r="C15">
        <v>-2341299.2580999997</v>
      </c>
      <c r="D15">
        <v>-2347575.4342999998</v>
      </c>
      <c r="E15">
        <v>-2349565.85</v>
      </c>
      <c r="F15" s="1">
        <f>(0.001*101300)/(287*A15)</f>
        <v>6.1384638691107407E-4</v>
      </c>
      <c r="G15" s="1">
        <f>(0.01*101300)/(287*$A15)</f>
        <v>6.1384638691107411E-3</v>
      </c>
      <c r="H15" s="1">
        <f>(0.1*101300)/(287*$A15)</f>
        <v>6.1384638691107406E-2</v>
      </c>
      <c r="I15" s="1">
        <f>(1*101300)/(287*$A15)</f>
        <v>0.61384638691107407</v>
      </c>
      <c r="J15" s="1">
        <f>B15-287*$A15</f>
        <v>-2486657.6052000001</v>
      </c>
      <c r="K15" s="1">
        <f>C15-287*$A15</f>
        <v>-2506324.2580999997</v>
      </c>
      <c r="L15" s="1">
        <f>D15-287*$A15</f>
        <v>-2512600.4342999998</v>
      </c>
      <c r="M15" s="1">
        <f>E15-287*$A15</f>
        <v>-2514590.85</v>
      </c>
    </row>
    <row r="16" spans="1:13" x14ac:dyDescent="0.25">
      <c r="A16" s="1">
        <v>600</v>
      </c>
      <c r="B16">
        <v>-2262950.0189999999</v>
      </c>
      <c r="C16">
        <v>-2304210.6907000002</v>
      </c>
      <c r="D16">
        <v>-2317516.3453000002</v>
      </c>
      <c r="E16">
        <v>-2321749.8641000004</v>
      </c>
      <c r="F16" s="1">
        <f>(0.001*101300)/(287*A16)</f>
        <v>5.8826945412311269E-4</v>
      </c>
      <c r="G16" s="1">
        <f>(0.01*101300)/(287*$A16)</f>
        <v>5.8826945412311267E-3</v>
      </c>
      <c r="H16" s="1">
        <f>(0.1*101300)/(287*$A16)</f>
        <v>5.8826945412311267E-2</v>
      </c>
      <c r="I16" s="1">
        <f>(1*101300)/(287*$A16)</f>
        <v>0.58826945412311271</v>
      </c>
      <c r="J16" s="1">
        <f>B16-287*$A16</f>
        <v>-2435150.0189999999</v>
      </c>
      <c r="K16" s="1">
        <f>C16-287*$A16</f>
        <v>-2476410.6907000002</v>
      </c>
      <c r="L16" s="1">
        <f>D16-287*$A16</f>
        <v>-2489716.3453000002</v>
      </c>
      <c r="M16" s="1">
        <f>E16-287*$A16</f>
        <v>-2493949.8641000004</v>
      </c>
    </row>
    <row r="17" spans="1:13" x14ac:dyDescent="0.25">
      <c r="A17" s="1">
        <v>625</v>
      </c>
      <c r="B17">
        <v>-2177595.8662</v>
      </c>
      <c r="C17">
        <v>-2257919.1163999997</v>
      </c>
      <c r="D17">
        <v>-2284348.1546</v>
      </c>
      <c r="E17">
        <v>-2292809.5982999997</v>
      </c>
      <c r="F17" s="1">
        <f>(0.001*101300)/(287*A17)</f>
        <v>5.6473867595818815E-4</v>
      </c>
      <c r="G17" s="1">
        <f>(0.01*101300)/(287*$A17)</f>
        <v>5.6473867595818817E-3</v>
      </c>
      <c r="H17" s="1">
        <f>(0.1*101300)/(287*$A17)</f>
        <v>5.6473867595818815E-2</v>
      </c>
      <c r="I17" s="1">
        <f>(1*101300)/(287*$A17)</f>
        <v>0.56473867595818816</v>
      </c>
      <c r="J17" s="1">
        <f>B17-287*$A17</f>
        <v>-2356970.8662</v>
      </c>
      <c r="K17" s="1">
        <f>C17-287*$A17</f>
        <v>-2437294.1163999997</v>
      </c>
      <c r="L17" s="1">
        <f>D17-287*$A17</f>
        <v>-2463723.1546</v>
      </c>
      <c r="M17" s="1">
        <f>E17-287*$A17</f>
        <v>-2472184.5982999997</v>
      </c>
    </row>
    <row r="18" spans="1:13" x14ac:dyDescent="0.25">
      <c r="A18" s="1">
        <v>650</v>
      </c>
      <c r="B18">
        <v>-2052157.9778999998</v>
      </c>
      <c r="C18">
        <v>-2196749.3817999996</v>
      </c>
      <c r="D18">
        <v>-2246127.9165000003</v>
      </c>
      <c r="E18">
        <v>-2262115.9458000003</v>
      </c>
      <c r="F18" s="1">
        <f>(0.001*101300)/(287*A18)</f>
        <v>5.4301795765210401E-4</v>
      </c>
      <c r="G18" s="1">
        <f>(0.01*101300)/(287*$A18)</f>
        <v>5.4301795765210404E-3</v>
      </c>
      <c r="H18" s="1">
        <f>(0.1*101300)/(287*$A18)</f>
        <v>5.4301795765210402E-2</v>
      </c>
      <c r="I18" s="1">
        <f>(1*101300)/(287*$A18)</f>
        <v>0.54301795765210403</v>
      </c>
      <c r="J18" s="1">
        <f>B18-287*$A18</f>
        <v>-2238707.9778999998</v>
      </c>
      <c r="K18" s="1">
        <f>C18-287*$A18</f>
        <v>-2383299.3817999996</v>
      </c>
      <c r="L18" s="1">
        <f>D18-287*$A18</f>
        <v>-2432677.9165000003</v>
      </c>
      <c r="M18" s="1">
        <f>E18-287*$A18</f>
        <v>-2448665.9458000003</v>
      </c>
    </row>
    <row r="19" spans="1:13" x14ac:dyDescent="0.25">
      <c r="A19" s="1">
        <v>675</v>
      </c>
      <c r="B19">
        <v>-1875104.9887999999</v>
      </c>
      <c r="C19">
        <v>-2113165.4173000003</v>
      </c>
      <c r="D19">
        <v>-2200049.6488000001</v>
      </c>
      <c r="E19">
        <v>-2228739.1382999998</v>
      </c>
      <c r="F19" s="1">
        <f>(0.001*101300)/(287*A19)</f>
        <v>5.229061814427668E-4</v>
      </c>
      <c r="G19" s="1">
        <f>(0.01*101300)/(287*$A19)</f>
        <v>5.2290618144276678E-3</v>
      </c>
      <c r="H19" s="1">
        <f>(0.1*101300)/(287*$A19)</f>
        <v>5.2290618144276678E-2</v>
      </c>
      <c r="I19" s="1">
        <f>(1*101300)/(287*$A19)</f>
        <v>0.52290618144276679</v>
      </c>
      <c r="J19" s="1">
        <f>B19-287*$A19</f>
        <v>-2068829.9887999999</v>
      </c>
      <c r="K19" s="1">
        <f>C19-287*$A19</f>
        <v>-2306890.4173000003</v>
      </c>
      <c r="L19" s="1">
        <f>D19-287*$A19</f>
        <v>-2393774.6488000001</v>
      </c>
      <c r="M19" s="1">
        <f>E19-287*$A19</f>
        <v>-2422464.1382999998</v>
      </c>
    </row>
    <row r="20" spans="1:13" x14ac:dyDescent="0.25">
      <c r="A20" s="1">
        <v>700</v>
      </c>
      <c r="B20">
        <v>-1647579.9646999999</v>
      </c>
      <c r="C20">
        <v>-1998651.7252</v>
      </c>
      <c r="D20">
        <v>-2142331.4218000001</v>
      </c>
      <c r="E20">
        <v>-2191370.9813999999</v>
      </c>
      <c r="F20" s="1">
        <f>(0.001*101300)/(287*A20)</f>
        <v>5.0423096067695372E-4</v>
      </c>
      <c r="G20" s="1">
        <f>(0.01*101300)/(287*$A20)</f>
        <v>5.0423096067695374E-3</v>
      </c>
      <c r="H20" s="1">
        <f>(0.1*101300)/(287*$A20)</f>
        <v>5.0423096067695371E-2</v>
      </c>
      <c r="I20" s="1">
        <f>(1*101300)/(287*$A20)</f>
        <v>0.50423096067695372</v>
      </c>
      <c r="J20" s="1">
        <f>B20-287*$A20</f>
        <v>-1848479.9646999999</v>
      </c>
      <c r="K20" s="1">
        <f>C20-287*$A20</f>
        <v>-2199551.7252000002</v>
      </c>
      <c r="L20" s="1">
        <f>D20-287*$A20</f>
        <v>-2343231.4218000001</v>
      </c>
      <c r="M20" s="1">
        <f>E20-287*$A20</f>
        <v>-2392270.9813999999</v>
      </c>
    </row>
    <row r="21" spans="1:13" x14ac:dyDescent="0.25">
      <c r="A21" s="1">
        <v>725</v>
      </c>
      <c r="B21">
        <v>-1396695.5960000001</v>
      </c>
      <c r="C21">
        <v>-1846379.7156</v>
      </c>
      <c r="D21">
        <v>-2068296.4700000002</v>
      </c>
      <c r="E21">
        <v>-2148260.2744999998</v>
      </c>
      <c r="F21" s="1">
        <f>(0.001*101300)/(287*A21)</f>
        <v>4.8684368617085184E-4</v>
      </c>
      <c r="G21" s="1">
        <f>(0.01*101300)/(287*$A21)</f>
        <v>4.8684368617085182E-3</v>
      </c>
      <c r="H21" s="1">
        <f>(0.1*101300)/(287*$A21)</f>
        <v>4.8684368617085187E-2</v>
      </c>
      <c r="I21" s="1">
        <f>(1*101300)/(287*$A21)</f>
        <v>0.48684368617085183</v>
      </c>
      <c r="J21" s="1">
        <f>B21-287*$A21</f>
        <v>-1604770.5960000001</v>
      </c>
      <c r="K21" s="1">
        <f>C21-287*$A21</f>
        <v>-2054454.7156</v>
      </c>
      <c r="L21" s="1">
        <f>D21-287*$A21</f>
        <v>-2276371.4700000002</v>
      </c>
      <c r="M21" s="1">
        <f>E21-287*$A21</f>
        <v>-2356335.2744999998</v>
      </c>
    </row>
    <row r="22" spans="1:13" x14ac:dyDescent="0.25">
      <c r="A22" s="1">
        <v>750</v>
      </c>
      <c r="B22">
        <v>-1171542.4069999999</v>
      </c>
      <c r="C22">
        <v>-1656346.9053</v>
      </c>
      <c r="D22">
        <v>-1972845.0188</v>
      </c>
      <c r="E22">
        <v>-2097186.1709999996</v>
      </c>
      <c r="F22" s="1">
        <f>(0.001*101300)/(287*A22)</f>
        <v>4.7061556329849012E-4</v>
      </c>
      <c r="G22" s="1">
        <f>(0.01*101300)/(287*$A22)</f>
        <v>4.7061556329849015E-3</v>
      </c>
      <c r="H22" s="1">
        <f>(0.1*101300)/(287*$A22)</f>
        <v>4.7061556329849014E-2</v>
      </c>
      <c r="I22" s="1">
        <f>(1*101300)/(287*$A22)</f>
        <v>0.47061556329849014</v>
      </c>
      <c r="J22" s="1">
        <f>B22-287*$A22</f>
        <v>-1386792.4069999999</v>
      </c>
      <c r="K22" s="1">
        <f>C22-287*$A22</f>
        <v>-1871596.9053</v>
      </c>
      <c r="L22" s="1">
        <f>D22-287*$A22</f>
        <v>-2188095.0187999997</v>
      </c>
      <c r="M22" s="1">
        <f>E22-287*$A22</f>
        <v>-2312436.1709999996</v>
      </c>
    </row>
    <row r="23" spans="1:13" x14ac:dyDescent="0.25">
      <c r="A23" s="1">
        <v>775</v>
      </c>
      <c r="B23">
        <v>-1007991.3569</v>
      </c>
      <c r="C23">
        <v>-1441636.8381000001</v>
      </c>
      <c r="D23">
        <v>-1851575.7315999998</v>
      </c>
      <c r="E23">
        <v>-2035507.2585</v>
      </c>
      <c r="F23" s="1">
        <f>(0.001*101300)/(287*A23)</f>
        <v>4.5543441609531299E-4</v>
      </c>
      <c r="G23" s="1">
        <f>(0.01*101300)/(287*$A23)</f>
        <v>4.5543441609531303E-3</v>
      </c>
      <c r="H23" s="1">
        <f>(0.1*101300)/(287*$A23)</f>
        <v>4.5543441609531304E-2</v>
      </c>
      <c r="I23" s="1">
        <f>(1*101300)/(287*$A23)</f>
        <v>0.45543441609531304</v>
      </c>
      <c r="J23" s="1">
        <f>B23-287*$A23</f>
        <v>-1230416.3569</v>
      </c>
      <c r="K23" s="1">
        <f>C23-287*$A23</f>
        <v>-1664061.8381000001</v>
      </c>
      <c r="L23" s="1">
        <f>D23-287*$A23</f>
        <v>-2074000.7315999998</v>
      </c>
      <c r="M23" s="1">
        <f>E23-287*$A23</f>
        <v>-2257932.2585</v>
      </c>
    </row>
    <row r="24" spans="1:13" x14ac:dyDescent="0.25">
      <c r="A24" s="1">
        <v>800</v>
      </c>
      <c r="B24">
        <v>-904015.98321999994</v>
      </c>
      <c r="C24">
        <v>-1229546.3674000001</v>
      </c>
      <c r="D24">
        <v>-1702762.2859</v>
      </c>
      <c r="E24">
        <v>-1960338.9240999999</v>
      </c>
      <c r="F24" s="1">
        <f>(0.001*101300)/(287*A24)</f>
        <v>4.4120209059233449E-4</v>
      </c>
      <c r="G24" s="1">
        <f>(0.01*101300)/(287*$A24)</f>
        <v>4.412020905923345E-3</v>
      </c>
      <c r="H24" s="1">
        <f>(0.1*101300)/(287*$A24)</f>
        <v>4.4120209059233452E-2</v>
      </c>
      <c r="I24" s="1">
        <f>(1*101300)/(287*$A24)</f>
        <v>0.44120209059233451</v>
      </c>
      <c r="J24" s="1">
        <f>B24-287*$A24</f>
        <v>-1133615.9832199998</v>
      </c>
      <c r="K24" s="1">
        <f>C24-287*$A24</f>
        <v>-1459146.3674000001</v>
      </c>
      <c r="L24" s="1">
        <f>D24-287*$A24</f>
        <v>-1932362.2859</v>
      </c>
      <c r="M24" s="1">
        <f>E24-287*$A24</f>
        <v>-2189938.9240999999</v>
      </c>
    </row>
    <row r="25" spans="1:13" x14ac:dyDescent="0.25">
      <c r="A25" s="1">
        <v>825</v>
      </c>
      <c r="B25">
        <v>-838029.39110000001</v>
      </c>
      <c r="C25">
        <v>-1049797.9944000002</v>
      </c>
      <c r="D25">
        <v>-1529979.7263999998</v>
      </c>
      <c r="E25">
        <v>-1868922.7463</v>
      </c>
      <c r="F25" s="1">
        <f>(0.001*101300)/(287*A25)</f>
        <v>4.2783233027135465E-4</v>
      </c>
      <c r="G25" s="1">
        <f>(0.01*101300)/(287*$A25)</f>
        <v>4.2783233027135466E-3</v>
      </c>
      <c r="H25" s="1">
        <f>(0.1*101300)/(287*$A25)</f>
        <v>4.2783233027135464E-2</v>
      </c>
      <c r="I25" s="1">
        <f>(1*101300)/(287*$A25)</f>
        <v>0.42783233027135464</v>
      </c>
      <c r="J25" s="1">
        <f>B25-287*$A25</f>
        <v>-1074804.3911000001</v>
      </c>
      <c r="K25" s="1">
        <f>C25-287*$A25</f>
        <v>-1286572.9944000002</v>
      </c>
      <c r="L25" s="1">
        <f>D25-287*$A25</f>
        <v>-1766754.7263999998</v>
      </c>
      <c r="M25" s="1">
        <f>E25-287*$A25</f>
        <v>-2105697.7462999998</v>
      </c>
    </row>
    <row r="26" spans="1:13" x14ac:dyDescent="0.25">
      <c r="A26" s="1">
        <v>850</v>
      </c>
      <c r="B26">
        <v>-791628.43036</v>
      </c>
      <c r="C26">
        <v>-916540.83161000011</v>
      </c>
      <c r="D26">
        <v>-1344122.0304</v>
      </c>
      <c r="E26">
        <v>-1759245.3018</v>
      </c>
      <c r="F26" s="1">
        <f>(0.001*101300)/(287*A26)</f>
        <v>4.1524902643984421E-4</v>
      </c>
      <c r="G26" s="1">
        <f>(0.01*101300)/(287*$A26)</f>
        <v>4.1524902643984424E-3</v>
      </c>
      <c r="H26" s="1">
        <f>(0.1*101300)/(287*$A26)</f>
        <v>4.1524902643984424E-2</v>
      </c>
      <c r="I26" s="1">
        <f>(1*101300)/(287*$A26)</f>
        <v>0.41524902643984424</v>
      </c>
      <c r="J26" s="1">
        <f>B26-287*$A26</f>
        <v>-1035578.43036</v>
      </c>
      <c r="K26" s="1">
        <f>C26-287*$A26</f>
        <v>-1160490.8316100002</v>
      </c>
      <c r="L26" s="1">
        <f>D26-287*$A26</f>
        <v>-1588072.0304</v>
      </c>
      <c r="M26" s="1">
        <f>E26-287*$A26</f>
        <v>-2003195.3018</v>
      </c>
    </row>
    <row r="27" spans="1:13" x14ac:dyDescent="0.25">
      <c r="A27" s="1">
        <v>875</v>
      </c>
      <c r="B27">
        <v>-754469.76538</v>
      </c>
      <c r="C27">
        <v>-824483.35791000002</v>
      </c>
      <c r="D27">
        <v>-1162281.6898000001</v>
      </c>
      <c r="E27">
        <v>-1630911.0642000001</v>
      </c>
      <c r="F27" s="1">
        <f>(0.001*101300)/(287*A27)</f>
        <v>4.0338476854156298E-4</v>
      </c>
      <c r="G27" s="1">
        <f>(0.01*101300)/(287*$A27)</f>
        <v>4.0338476854156298E-3</v>
      </c>
      <c r="H27" s="1">
        <f>(0.1*101300)/(287*$A27)</f>
        <v>4.0338476854156299E-2</v>
      </c>
      <c r="I27" s="1">
        <f>(1*101300)/(287*$A27)</f>
        <v>0.40338476854156297</v>
      </c>
      <c r="J27" s="1">
        <f>B27-287*$A27</f>
        <v>-1005594.76538</v>
      </c>
      <c r="K27" s="1">
        <f>C27-287*$A27</f>
        <v>-1075608.35791</v>
      </c>
      <c r="L27" s="1">
        <f>D27-287*$A27</f>
        <v>-1413406.6898000001</v>
      </c>
      <c r="M27" s="1">
        <f>E27-287*$A27</f>
        <v>-1882036.0642000001</v>
      </c>
    </row>
    <row r="28" spans="1:13" x14ac:dyDescent="0.25">
      <c r="A28" s="1">
        <v>900</v>
      </c>
      <c r="B28">
        <v>-721559.17865000002</v>
      </c>
      <c r="C28">
        <v>-760222.30907999992</v>
      </c>
      <c r="D28">
        <v>-1001795.0167</v>
      </c>
      <c r="E28">
        <v>-1486131.3936999999</v>
      </c>
      <c r="F28" s="1">
        <f>(0.001*101300)/(287*A28)</f>
        <v>3.9217963608207507E-4</v>
      </c>
      <c r="G28" s="1">
        <f>(0.01*101300)/(287*$A28)</f>
        <v>3.9217963608207508E-3</v>
      </c>
      <c r="H28" s="1">
        <f>(0.1*101300)/(287*$A28)</f>
        <v>3.9217963608207514E-2</v>
      </c>
      <c r="I28" s="1">
        <f>(1*101300)/(287*$A28)</f>
        <v>0.39217963608207512</v>
      </c>
      <c r="J28" s="1">
        <f>B28-287*$A28</f>
        <v>-979859.17865000002</v>
      </c>
      <c r="K28" s="1">
        <f>C28-287*$A28</f>
        <v>-1018522.3090799999</v>
      </c>
      <c r="L28" s="1">
        <f>D28-287*$A28</f>
        <v>-1260095.0167</v>
      </c>
      <c r="M28" s="1">
        <f>E28-287*$A28</f>
        <v>-1744431.3936999999</v>
      </c>
    </row>
    <row r="29" spans="1:13" x14ac:dyDescent="0.25">
      <c r="A29" s="1">
        <v>925</v>
      </c>
      <c r="B29">
        <v>-690590.38279000006</v>
      </c>
      <c r="C29">
        <v>-712091.69877999998</v>
      </c>
      <c r="D29">
        <v>-872609.92828999995</v>
      </c>
      <c r="E29">
        <v>-1330435.5506</v>
      </c>
      <c r="F29" s="1">
        <f>(0.001*101300)/(287*A29)</f>
        <v>3.8158018645823521E-4</v>
      </c>
      <c r="G29" s="1">
        <f>(0.01*101300)/(287*$A29)</f>
        <v>3.8158018645823525E-3</v>
      </c>
      <c r="H29" s="1">
        <f>(0.1*101300)/(287*$A29)</f>
        <v>3.8158018645823522E-2</v>
      </c>
      <c r="I29" s="1">
        <f>(1*101300)/(287*$A29)</f>
        <v>0.38158018645823522</v>
      </c>
      <c r="J29" s="1">
        <f>B29-287*$A29</f>
        <v>-956065.38279000006</v>
      </c>
      <c r="K29" s="1">
        <f>C29-287*$A29</f>
        <v>-977566.69877999998</v>
      </c>
      <c r="L29" s="1">
        <f>D29-287*$A29</f>
        <v>-1138084.92829</v>
      </c>
      <c r="M29" s="1">
        <f>E29-287*$A29</f>
        <v>-1595910.5506</v>
      </c>
    </row>
    <row r="30" spans="1:13" x14ac:dyDescent="0.25">
      <c r="A30" s="1">
        <v>950</v>
      </c>
      <c r="B30">
        <v>-660497.34424999997</v>
      </c>
      <c r="C30">
        <v>-672673.24193000002</v>
      </c>
      <c r="D30">
        <v>-774577.21919000009</v>
      </c>
      <c r="E30">
        <v>-1172449.2032999999</v>
      </c>
      <c r="F30" s="1">
        <f>(0.001*101300)/(287*A30)</f>
        <v>3.7153860260407117E-4</v>
      </c>
      <c r="G30" s="1">
        <f>(0.01*101300)/(287*$A30)</f>
        <v>3.7153860260407115E-3</v>
      </c>
      <c r="H30" s="1">
        <f>(0.1*101300)/(287*$A30)</f>
        <v>3.7153860260407116E-2</v>
      </c>
      <c r="I30" s="1">
        <f>(1*101300)/(287*$A30)</f>
        <v>0.37153860260407118</v>
      </c>
      <c r="J30" s="1">
        <f>B30-287*$A30</f>
        <v>-933147.34424999997</v>
      </c>
      <c r="K30" s="1">
        <f>C30-287*$A30</f>
        <v>-945323.24193000002</v>
      </c>
      <c r="L30" s="1">
        <f>D30-287*$A30</f>
        <v>-1047227.2191900001</v>
      </c>
      <c r="M30" s="1">
        <f>E30-287*$A30</f>
        <v>-1445099.2032999999</v>
      </c>
    </row>
    <row r="31" spans="1:13" x14ac:dyDescent="0.25">
      <c r="A31" s="1">
        <v>975</v>
      </c>
      <c r="B31">
        <v>-630777.7519899999</v>
      </c>
      <c r="C31">
        <v>-637832.09227999998</v>
      </c>
      <c r="D31">
        <v>-701160.10922999994</v>
      </c>
      <c r="E31">
        <v>-1022191.6355</v>
      </c>
      <c r="F31" s="1">
        <f>(0.001*101300)/(287*A31)</f>
        <v>3.6201197176806931E-4</v>
      </c>
      <c r="G31" s="1">
        <f>(0.01*101300)/(287*$A31)</f>
        <v>3.6201197176806933E-3</v>
      </c>
      <c r="H31" s="1">
        <f>(0.1*101300)/(287*$A31)</f>
        <v>3.6201197176806935E-2</v>
      </c>
      <c r="I31" s="1">
        <f>(1*101300)/(287*$A31)</f>
        <v>0.36201197176806932</v>
      </c>
      <c r="J31" s="1">
        <f>B31-287*$A31</f>
        <v>-910602.7519899999</v>
      </c>
      <c r="K31" s="1">
        <f>C31-287*$A31</f>
        <v>-917657.09227999998</v>
      </c>
      <c r="L31" s="1">
        <f>D31-287*$A31</f>
        <v>-980985.10922999994</v>
      </c>
      <c r="M31" s="1">
        <f>E31-287*$A31</f>
        <v>-1302016.6354999999</v>
      </c>
    </row>
    <row r="32" spans="1:13" x14ac:dyDescent="0.25">
      <c r="A32" s="1">
        <v>1000</v>
      </c>
      <c r="B32">
        <v>-601188.75422999996</v>
      </c>
      <c r="C32">
        <v>-605376.24054999999</v>
      </c>
      <c r="D32">
        <v>-644583.39515</v>
      </c>
      <c r="E32">
        <v>-888215.83899999992</v>
      </c>
      <c r="F32" s="1">
        <f>(0.001*101300)/(287*A32)</f>
        <v>3.529616724738676E-4</v>
      </c>
      <c r="G32" s="1">
        <f>(0.01*101300)/(287*$A32)</f>
        <v>3.5296167247386759E-3</v>
      </c>
      <c r="H32" s="1">
        <f>(0.1*101300)/(287*$A32)</f>
        <v>3.529616724738676E-2</v>
      </c>
      <c r="I32" s="1">
        <f>(1*101300)/(287*$A32)</f>
        <v>0.35296167247386762</v>
      </c>
      <c r="J32" s="1">
        <f>B32-287*$A32</f>
        <v>-888188.75422999996</v>
      </c>
      <c r="K32" s="1">
        <f>C32-287*$A32</f>
        <v>-892376.24054999999</v>
      </c>
      <c r="L32" s="1">
        <f>D32-287*$A32</f>
        <v>-931583.39515</v>
      </c>
      <c r="M32" s="1">
        <f>E32-287*$A32</f>
        <v>-1175215.8389999999</v>
      </c>
    </row>
    <row r="33" spans="1:13" x14ac:dyDescent="0.25">
      <c r="A33" s="1">
        <v>1025</v>
      </c>
      <c r="B33">
        <v>-571610.98234999995</v>
      </c>
      <c r="C33">
        <v>-574157.36929000006</v>
      </c>
      <c r="D33">
        <v>-598605.79314999992</v>
      </c>
      <c r="E33">
        <v>-775117.12716999999</v>
      </c>
      <c r="F33" s="1">
        <f>(0.001*101300)/(287*A33)</f>
        <v>3.4435285119401715E-4</v>
      </c>
      <c r="G33" s="1">
        <f>(0.01*101300)/(287*$A33)</f>
        <v>3.4435285119401716E-3</v>
      </c>
      <c r="H33" s="1">
        <f>(0.1*101300)/(287*$A33)</f>
        <v>3.4435285119401714E-2</v>
      </c>
      <c r="I33" s="1">
        <f>(1*101300)/(287*$A33)</f>
        <v>0.34435285119401715</v>
      </c>
      <c r="J33" s="1">
        <f>B33-287*$A33</f>
        <v>-865785.98234999995</v>
      </c>
      <c r="K33" s="1">
        <f>C33-287*$A33</f>
        <v>-868332.36929000006</v>
      </c>
      <c r="L33" s="1">
        <f>D33-287*$A33</f>
        <v>-892780.79314999992</v>
      </c>
      <c r="M33" s="1">
        <f>E33-287*$A33</f>
        <v>-1069292.12717</v>
      </c>
    </row>
    <row r="34" spans="1:13" x14ac:dyDescent="0.25">
      <c r="A34" s="1">
        <v>1050</v>
      </c>
      <c r="B34">
        <v>-541985.61780000001</v>
      </c>
      <c r="C34">
        <v>-543570.47061000008</v>
      </c>
      <c r="D34">
        <v>-559018.66963999998</v>
      </c>
      <c r="E34">
        <v>-682979.27049999998</v>
      </c>
      <c r="F34" s="1">
        <f>(0.001*101300)/(287*A34)</f>
        <v>3.3615397378463578E-4</v>
      </c>
      <c r="G34" s="1">
        <f>(0.01*101300)/(287*$A34)</f>
        <v>3.361539737846358E-3</v>
      </c>
      <c r="H34" s="1">
        <f>(0.1*101300)/(287*$A34)</f>
        <v>3.3615397378463578E-2</v>
      </c>
      <c r="I34" s="1">
        <f>(1*101300)/(287*$A34)</f>
        <v>0.3361539737846358</v>
      </c>
      <c r="J34" s="1">
        <f>B34-287*$A34</f>
        <v>-843335.61780000001</v>
      </c>
      <c r="K34" s="1">
        <f>C34-287*$A34</f>
        <v>-844920.47061000008</v>
      </c>
      <c r="L34" s="1">
        <f>D34-287*$A34</f>
        <v>-860368.66963999998</v>
      </c>
      <c r="M34" s="1">
        <f>E34-287*$A34</f>
        <v>-984329.27049999998</v>
      </c>
    </row>
    <row r="35" spans="1:13" x14ac:dyDescent="0.25">
      <c r="A35" s="1">
        <v>1075</v>
      </c>
      <c r="B35">
        <v>-512282.89182000002</v>
      </c>
      <c r="C35">
        <v>-513291.30528999999</v>
      </c>
      <c r="D35">
        <v>-523211.59872000001</v>
      </c>
      <c r="E35">
        <v>-608763.51674999995</v>
      </c>
      <c r="F35" s="1">
        <f>(0.001*101300)/(287*A35)</f>
        <v>3.2833643951057451E-4</v>
      </c>
      <c r="G35" s="1">
        <f>(0.01*101300)/(287*$A35)</f>
        <v>3.283364395105745E-3</v>
      </c>
      <c r="H35" s="1">
        <f>(0.1*101300)/(287*$A35)</f>
        <v>3.2833643951057451E-2</v>
      </c>
      <c r="I35" s="1">
        <f>(1*101300)/(287*$A35)</f>
        <v>0.32833643951057451</v>
      </c>
      <c r="J35" s="1">
        <f>B35-287*$A35</f>
        <v>-820807.89182000002</v>
      </c>
      <c r="K35" s="1">
        <f>C35-287*$A35</f>
        <v>-821816.30529000005</v>
      </c>
      <c r="L35" s="1">
        <f>D35-287*$A35</f>
        <v>-831736.59872000001</v>
      </c>
      <c r="M35" s="1">
        <f>E35-287*$A35</f>
        <v>-917288.51674999995</v>
      </c>
    </row>
    <row r="36" spans="1:13" x14ac:dyDescent="0.25">
      <c r="A36" s="1">
        <v>1100</v>
      </c>
      <c r="B36">
        <v>-482488.30018000002</v>
      </c>
      <c r="C36">
        <v>-483143.42804000003</v>
      </c>
      <c r="D36">
        <v>-489625.08147999999</v>
      </c>
      <c r="E36">
        <v>-548285.23601999995</v>
      </c>
      <c r="F36" s="1">
        <f>(0.001*101300)/(287*A36)</f>
        <v>3.2087424770351597E-4</v>
      </c>
      <c r="G36" s="1">
        <f>(0.01*101300)/(287*$A36)</f>
        <v>3.2087424770351602E-3</v>
      </c>
      <c r="H36" s="1">
        <f>(0.1*101300)/(287*$A36)</f>
        <v>3.2087424770351598E-2</v>
      </c>
      <c r="I36" s="1">
        <f>(1*101300)/(287*$A36)</f>
        <v>0.32087424770351597</v>
      </c>
      <c r="J36" s="1">
        <f>B36-287*$A36</f>
        <v>-798188.30018000002</v>
      </c>
      <c r="K36" s="1">
        <f>C36-287*$A36</f>
        <v>-798843.42804000003</v>
      </c>
      <c r="L36" s="1">
        <f>D36-287*$A36</f>
        <v>-805325.08147999994</v>
      </c>
      <c r="M36" s="1">
        <f>E36-287*$A36</f>
        <v>-863985.23601999995</v>
      </c>
    </row>
    <row r="37" spans="1:13" x14ac:dyDescent="0.25">
      <c r="A37" s="1">
        <v>1125</v>
      </c>
      <c r="B37">
        <v>-452595.36291999999</v>
      </c>
      <c r="C37">
        <v>-453029.38021999999</v>
      </c>
      <c r="D37">
        <v>-457338.85940000002</v>
      </c>
      <c r="E37">
        <v>-497610.32245000004</v>
      </c>
      <c r="F37" s="1">
        <f>(0.001*101300)/(287*A37)</f>
        <v>3.1374370886566008E-4</v>
      </c>
      <c r="G37" s="1">
        <f>(0.01*101300)/(287*$A37)</f>
        <v>3.137437088656601E-3</v>
      </c>
      <c r="H37" s="1">
        <f>(0.1*101300)/(287*$A37)</f>
        <v>3.1374370886566007E-2</v>
      </c>
      <c r="I37" s="1">
        <f>(1*101300)/(287*$A37)</f>
        <v>0.31374370886566011</v>
      </c>
      <c r="J37" s="1">
        <f>B37-287*$A37</f>
        <v>-775470.36291999999</v>
      </c>
      <c r="K37" s="1">
        <f>C37-287*$A37</f>
        <v>-775904.38021999993</v>
      </c>
      <c r="L37" s="1">
        <f>D37-287*$A37</f>
        <v>-780213.85939999996</v>
      </c>
      <c r="M37" s="1">
        <f>E37-287*$A37</f>
        <v>-820485.32245000009</v>
      </c>
    </row>
    <row r="38" spans="1:13" x14ac:dyDescent="0.25">
      <c r="A38" s="1">
        <v>1150</v>
      </c>
      <c r="B38">
        <v>-422601.90662999998</v>
      </c>
      <c r="C38">
        <v>-422894.76656999998</v>
      </c>
      <c r="D38">
        <v>-425809.34945000004</v>
      </c>
      <c r="E38">
        <v>-453631.60628999997</v>
      </c>
      <c r="F38" s="1">
        <f>(0.001*101300)/(287*A38)</f>
        <v>3.0692319345553703E-4</v>
      </c>
      <c r="G38" s="1">
        <f>(0.01*101300)/(287*$A38)</f>
        <v>3.0692319345553705E-3</v>
      </c>
      <c r="H38" s="1">
        <f>(0.1*101300)/(287*$A38)</f>
        <v>3.0692319345553703E-2</v>
      </c>
      <c r="I38" s="1">
        <f>(1*101300)/(287*$A38)</f>
        <v>0.30692319345553704</v>
      </c>
      <c r="J38" s="1">
        <f>B38-287*$A38</f>
        <v>-752651.90662999998</v>
      </c>
      <c r="K38" s="1">
        <f>C38-287*$A38</f>
        <v>-752944.76656999998</v>
      </c>
      <c r="L38" s="1">
        <f>D38-287*$A38</f>
        <v>-755859.3494500001</v>
      </c>
      <c r="M38" s="1">
        <f>E38-287*$A38</f>
        <v>-783681.60629000003</v>
      </c>
    </row>
    <row r="39" spans="1:13" x14ac:dyDescent="0.25">
      <c r="A39" s="1">
        <v>1175</v>
      </c>
      <c r="B39">
        <v>-392508.10515000002</v>
      </c>
      <c r="C39">
        <v>-392709.15044999996</v>
      </c>
      <c r="D39">
        <v>-394712.98438000004</v>
      </c>
      <c r="E39">
        <v>-414115.23446000001</v>
      </c>
      <c r="F39" s="1">
        <f>(0.001*101300)/(287*A39)</f>
        <v>3.0039291274371711E-4</v>
      </c>
      <c r="G39" s="1">
        <f>(0.01*101300)/(287*$A39)</f>
        <v>3.0039291274371709E-3</v>
      </c>
      <c r="H39" s="1">
        <f>(0.1*101300)/(287*$A39)</f>
        <v>3.0039291274371709E-2</v>
      </c>
      <c r="I39" s="1">
        <f>(1*101300)/(287*$A39)</f>
        <v>0.3003929127437171</v>
      </c>
      <c r="J39" s="1">
        <f>B39-287*$A39</f>
        <v>-729733.10514999996</v>
      </c>
      <c r="K39" s="1">
        <f>C39-287*$A39</f>
        <v>-729934.15044999996</v>
      </c>
      <c r="L39" s="1">
        <f>D39-287*$A39</f>
        <v>-731937.98438000004</v>
      </c>
      <c r="M39" s="1">
        <f>E39-287*$A39</f>
        <v>-751340.23445999995</v>
      </c>
    </row>
    <row r="40" spans="1:13" x14ac:dyDescent="0.25">
      <c r="A40" s="1">
        <v>1200</v>
      </c>
      <c r="B40">
        <v>-362315.42111</v>
      </c>
      <c r="C40">
        <v>-362455.68666999997</v>
      </c>
      <c r="D40">
        <v>-363855.11560999998</v>
      </c>
      <c r="E40">
        <v>-377535.64007999998</v>
      </c>
      <c r="F40" s="1">
        <f>(0.001*101300)/(287*A40)</f>
        <v>2.9413472706155635E-4</v>
      </c>
      <c r="G40" s="1">
        <f>(0.01*101300)/(287*$A40)</f>
        <v>2.9413472706155634E-3</v>
      </c>
      <c r="H40" s="1">
        <f>(0.1*101300)/(287*$A40)</f>
        <v>2.9413472706155634E-2</v>
      </c>
      <c r="I40" s="1">
        <f>(1*101300)/(287*$A40)</f>
        <v>0.29413472706155636</v>
      </c>
      <c r="J40" s="1">
        <f>B40-287*$A40</f>
        <v>-706715.42111</v>
      </c>
      <c r="K40" s="1">
        <f>C40-287*$A40</f>
        <v>-706855.68666999997</v>
      </c>
      <c r="L40" s="1">
        <f>D40-287*$A40</f>
        <v>-708255.11560999998</v>
      </c>
      <c r="M40" s="1">
        <f>E40-287*$A40</f>
        <v>-721935.64008000004</v>
      </c>
    </row>
    <row r="41" spans="1:13" x14ac:dyDescent="0.25">
      <c r="A41" s="1">
        <v>1225</v>
      </c>
      <c r="B41">
        <v>-332026.02065000002</v>
      </c>
      <c r="C41">
        <v>-332125.37945999997</v>
      </c>
      <c r="D41">
        <v>-333117.34655999998</v>
      </c>
      <c r="E41">
        <v>-342878.12877000001</v>
      </c>
      <c r="F41" s="1">
        <f>(0.001*101300)/(287*A41)</f>
        <v>2.8813197752968785E-4</v>
      </c>
      <c r="G41" s="1">
        <f>(0.01*101300)/(287*$A41)</f>
        <v>2.8813197752968782E-3</v>
      </c>
      <c r="H41" s="1">
        <f>(0.1*101300)/(287*$A41)</f>
        <v>2.8813197752968783E-2</v>
      </c>
      <c r="I41" s="1">
        <f>(1*101300)/(287*$A41)</f>
        <v>0.28813197752968783</v>
      </c>
      <c r="J41" s="1">
        <f>B41-287*$A41</f>
        <v>-683601.02065000008</v>
      </c>
      <c r="K41" s="1">
        <f>C41-287*$A41</f>
        <v>-683700.37945999997</v>
      </c>
      <c r="L41" s="1">
        <f>D41-287*$A41</f>
        <v>-684692.34655999998</v>
      </c>
      <c r="M41" s="1">
        <f>E41-287*$A41</f>
        <v>-694453.12877000007</v>
      </c>
    </row>
    <row r="42" spans="1:13" x14ac:dyDescent="0.25">
      <c r="A42" s="1">
        <v>1250</v>
      </c>
      <c r="B42">
        <v>-301642.44292</v>
      </c>
      <c r="C42">
        <v>-301713.83766000002</v>
      </c>
      <c r="D42">
        <v>-302426.94712999999</v>
      </c>
      <c r="E42">
        <v>-309475.47567999997</v>
      </c>
      <c r="F42" s="1">
        <f>(0.001*101300)/(287*A42)</f>
        <v>2.8236933797909407E-4</v>
      </c>
      <c r="G42" s="1">
        <f>(0.01*101300)/(287*$A42)</f>
        <v>2.8236933797909408E-3</v>
      </c>
      <c r="H42" s="1">
        <f>(0.1*101300)/(287*$A42)</f>
        <v>2.8236933797909407E-2</v>
      </c>
      <c r="I42" s="1">
        <f>(1*101300)/(287*$A42)</f>
        <v>0.28236933797909408</v>
      </c>
      <c r="J42" s="1">
        <f>B42-287*$A42</f>
        <v>-660392.44292000006</v>
      </c>
      <c r="K42" s="1">
        <f>C42-287*$A42</f>
        <v>-660463.83765999996</v>
      </c>
      <c r="L42" s="1">
        <f>D42-287*$A42</f>
        <v>-661176.94712999999</v>
      </c>
      <c r="M42" s="1">
        <f>E42-287*$A42</f>
        <v>-668225.47567999992</v>
      </c>
    </row>
    <row r="43" spans="1:13" x14ac:dyDescent="0.25">
      <c r="A43" s="1">
        <v>1275</v>
      </c>
      <c r="B43">
        <v>-271167.40966</v>
      </c>
      <c r="C43">
        <v>-271219.40521</v>
      </c>
      <c r="D43">
        <v>-271738.91558999999</v>
      </c>
      <c r="E43">
        <v>-276890.02503000002</v>
      </c>
      <c r="F43" s="1">
        <f>(0.001*101300)/(287*A43)</f>
        <v>2.7683268429322947E-4</v>
      </c>
      <c r="G43" s="1">
        <f>(0.01*101300)/(287*$A43)</f>
        <v>2.7683268429322949E-3</v>
      </c>
      <c r="H43" s="1">
        <f>(0.1*101300)/(287*$A43)</f>
        <v>2.7683268429322949E-2</v>
      </c>
      <c r="I43" s="1">
        <f>(1*101300)/(287*$A43)</f>
        <v>0.27683268429322949</v>
      </c>
      <c r="J43" s="1">
        <f>B43-287*$A43</f>
        <v>-637092.40966</v>
      </c>
      <c r="K43" s="1">
        <f>C43-287*$A43</f>
        <v>-637144.40521</v>
      </c>
      <c r="L43" s="1">
        <f>D43-287*$A43</f>
        <v>-637663.91558999999</v>
      </c>
      <c r="M43" s="1">
        <f>E43-287*$A43</f>
        <v>-642815.02503000002</v>
      </c>
    </row>
    <row r="44" spans="1:13" x14ac:dyDescent="0.25">
      <c r="A44" s="1">
        <v>1300</v>
      </c>
      <c r="B44">
        <v>-240603.71375</v>
      </c>
      <c r="C44">
        <v>-240642.06412</v>
      </c>
      <c r="D44">
        <v>-241025.32444999999</v>
      </c>
      <c r="E44">
        <v>-244833.91402</v>
      </c>
      <c r="F44" s="1">
        <f>(0.001*101300)/(287*A44)</f>
        <v>2.7150897882605201E-4</v>
      </c>
      <c r="G44" s="1">
        <f>(0.01*101300)/(287*$A44)</f>
        <v>2.7150897882605202E-3</v>
      </c>
      <c r="H44" s="1">
        <f>(0.1*101300)/(287*$A44)</f>
        <v>2.7150897882605201E-2</v>
      </c>
      <c r="I44" s="1">
        <f>(1*101300)/(287*$A44)</f>
        <v>0.27150897882605202</v>
      </c>
      <c r="J44" s="1">
        <f>B44-287*$A44</f>
        <v>-613703.71375</v>
      </c>
      <c r="K44" s="1">
        <f>C44-287*$A44</f>
        <v>-613742.06412</v>
      </c>
      <c r="L44" s="1">
        <f>D44-287*$A44</f>
        <v>-614125.32444999996</v>
      </c>
      <c r="M44" s="1">
        <f>E44-287*$A44</f>
        <v>-617933.91402000003</v>
      </c>
    </row>
    <row r="45" spans="1:13" x14ac:dyDescent="0.25">
      <c r="A45" s="1">
        <v>1325</v>
      </c>
      <c r="B45">
        <v>-209954.15315</v>
      </c>
      <c r="C45">
        <v>-209982.77942000001</v>
      </c>
      <c r="D45">
        <v>-210268.90432999999</v>
      </c>
      <c r="E45">
        <v>-213116.73965</v>
      </c>
      <c r="F45" s="1">
        <f>(0.001*101300)/(287*A45)</f>
        <v>2.6638616790480575E-4</v>
      </c>
      <c r="G45" s="1">
        <f>(0.01*101300)/(287*$A45)</f>
        <v>2.6638616790480574E-3</v>
      </c>
      <c r="H45" s="1">
        <f>(0.1*101300)/(287*$A45)</f>
        <v>2.6638616790480574E-2</v>
      </c>
      <c r="I45" s="1">
        <f>(1*101300)/(287*$A45)</f>
        <v>0.26638616790480574</v>
      </c>
      <c r="J45" s="1">
        <f>B45-287*$A45</f>
        <v>-590229.15315000003</v>
      </c>
      <c r="K45" s="1">
        <f>C45-287*$A45</f>
        <v>-590257.77942000004</v>
      </c>
      <c r="L45" s="1">
        <f>D45-287*$A45</f>
        <v>-590543.90433000005</v>
      </c>
      <c r="M45" s="1">
        <f>E45-287*$A45</f>
        <v>-593391.73965</v>
      </c>
    </row>
    <row r="46" spans="1:13" x14ac:dyDescent="0.25">
      <c r="A46" s="1">
        <v>1350</v>
      </c>
      <c r="B46">
        <v>-179221.49139000001</v>
      </c>
      <c r="C46">
        <v>-179243.10188999999</v>
      </c>
      <c r="D46">
        <v>-179459.12418000001</v>
      </c>
      <c r="E46">
        <v>-181611.68678000002</v>
      </c>
      <c r="F46" s="1">
        <f>(0.001*101300)/(287*A46)</f>
        <v>2.614530907213834E-4</v>
      </c>
      <c r="G46" s="1">
        <f>(0.01*101300)/(287*$A46)</f>
        <v>2.6145309072138339E-3</v>
      </c>
      <c r="H46" s="1">
        <f>(0.1*101300)/(287*$A46)</f>
        <v>2.6145309072138339E-2</v>
      </c>
      <c r="I46" s="1">
        <f>(1*101300)/(287*$A46)</f>
        <v>0.2614530907213834</v>
      </c>
      <c r="J46" s="1">
        <f>B46-287*$A46</f>
        <v>-566671.49138999998</v>
      </c>
      <c r="K46" s="1">
        <f>C46-287*$A46</f>
        <v>-566693.10189000005</v>
      </c>
      <c r="L46" s="1">
        <f>D46-287*$A46</f>
        <v>-566909.12418000004</v>
      </c>
      <c r="M46" s="1">
        <f>E46-287*$A46</f>
        <v>-569061.68677999999</v>
      </c>
    </row>
    <row r="47" spans="1:13" x14ac:dyDescent="0.25">
      <c r="A47" s="1">
        <v>1375</v>
      </c>
      <c r="B47">
        <v>-148408.43395999999</v>
      </c>
      <c r="C47">
        <v>-148424.92351999998</v>
      </c>
      <c r="D47">
        <v>-148589.76239000002</v>
      </c>
      <c r="E47">
        <v>-150233.68210999999</v>
      </c>
      <c r="F47" s="1">
        <f>(0.001*101300)/(287*A47)</f>
        <v>2.5669939816281277E-4</v>
      </c>
      <c r="G47" s="1">
        <f>(0.01*101300)/(287*$A47)</f>
        <v>2.5669939816281278E-3</v>
      </c>
      <c r="H47" s="1">
        <f>(0.1*101300)/(287*$A47)</f>
        <v>2.5669939816281281E-2</v>
      </c>
      <c r="I47" s="1">
        <f>(1*101300)/(287*$A47)</f>
        <v>0.25669939816281279</v>
      </c>
      <c r="J47" s="1">
        <f>B47-287*$A47</f>
        <v>-543033.43396000005</v>
      </c>
      <c r="K47" s="1">
        <f>C47-287*$A47</f>
        <v>-543049.92351999995</v>
      </c>
      <c r="L47" s="1">
        <f>D47-287*$A47</f>
        <v>-543214.76239000005</v>
      </c>
      <c r="M47" s="1">
        <f>E47-287*$A47</f>
        <v>-544858.68210999994</v>
      </c>
    </row>
    <row r="48" spans="1:13" x14ac:dyDescent="0.25">
      <c r="A48" s="1">
        <v>1400</v>
      </c>
      <c r="B48">
        <v>-117517.61448999999</v>
      </c>
      <c r="C48">
        <v>-117530.32506</v>
      </c>
      <c r="D48">
        <v>-117657.38056000001</v>
      </c>
      <c r="E48">
        <v>-118925.27248</v>
      </c>
      <c r="F48" s="1">
        <f>(0.001*101300)/(287*A48)</f>
        <v>2.5211548033847686E-4</v>
      </c>
      <c r="G48" s="1">
        <f>(0.01*101300)/(287*$A48)</f>
        <v>2.5211548033847687E-3</v>
      </c>
      <c r="H48" s="1">
        <f>(0.1*101300)/(287*$A48)</f>
        <v>2.5211548033847685E-2</v>
      </c>
      <c r="I48" s="1">
        <f>(1*101300)/(287*$A48)</f>
        <v>0.25211548033847686</v>
      </c>
      <c r="J48" s="1">
        <f>B48-287*$A48</f>
        <v>-519317.61449000001</v>
      </c>
      <c r="K48" s="1">
        <f>C48-287*$A48</f>
        <v>-519330.32506</v>
      </c>
      <c r="L48" s="1">
        <f>D48-287*$A48</f>
        <v>-519457.38056000002</v>
      </c>
      <c r="M48" s="1">
        <f>E48-287*$A48</f>
        <v>-520725.27247999999</v>
      </c>
    </row>
    <row r="49" spans="1:13" x14ac:dyDescent="0.25">
      <c r="A49" s="1">
        <v>1425</v>
      </c>
      <c r="B49">
        <v>-86551.586717000013</v>
      </c>
      <c r="C49">
        <v>-86561.480029999992</v>
      </c>
      <c r="D49">
        <v>-86660.351670000004</v>
      </c>
      <c r="E49">
        <v>-87647.44413399999</v>
      </c>
      <c r="F49" s="1">
        <f>(0.001*101300)/(287*A49)</f>
        <v>2.4769240173604741E-4</v>
      </c>
      <c r="G49" s="1">
        <f>(0.01*101300)/(287*$A49)</f>
        <v>2.4769240173604743E-3</v>
      </c>
      <c r="H49" s="1">
        <f>(0.1*101300)/(287*$A49)</f>
        <v>2.4769240173604743E-2</v>
      </c>
      <c r="I49" s="1">
        <f>(1*101300)/(287*$A49)</f>
        <v>0.24769240173604742</v>
      </c>
      <c r="J49" s="1">
        <f>B49-287*$A49</f>
        <v>-495526.586717</v>
      </c>
      <c r="K49" s="1">
        <f>C49-287*$A49</f>
        <v>-495536.48002999998</v>
      </c>
      <c r="L49" s="1">
        <f>D49-287*$A49</f>
        <v>-495635.35167</v>
      </c>
      <c r="M49" s="1">
        <f>E49-287*$A49</f>
        <v>-496622.44413399999</v>
      </c>
    </row>
    <row r="50" spans="1:13" x14ac:dyDescent="0.25">
      <c r="A50" s="1">
        <v>1450</v>
      </c>
      <c r="B50">
        <v>-55512.820297999999</v>
      </c>
      <c r="C50">
        <v>-55520.593795000001</v>
      </c>
      <c r="D50">
        <v>-55598.233305999995</v>
      </c>
      <c r="E50">
        <v>-56373.608121999998</v>
      </c>
      <c r="F50" s="1">
        <f>(0.001*101300)/(287*A50)</f>
        <v>2.4342184308542592E-4</v>
      </c>
      <c r="G50" s="1">
        <f>(0.01*101300)/(287*$A50)</f>
        <v>2.4342184308542591E-3</v>
      </c>
      <c r="H50" s="1">
        <f>(0.1*101300)/(287*$A50)</f>
        <v>2.4342184308542594E-2</v>
      </c>
      <c r="I50" s="1">
        <f>(1*101300)/(287*$A50)</f>
        <v>0.24342184308542592</v>
      </c>
      <c r="J50" s="1">
        <f>B50-287*$A50</f>
        <v>-471662.82029800001</v>
      </c>
      <c r="K50" s="1">
        <f>C50-287*$A50</f>
        <v>-471670.59379499999</v>
      </c>
      <c r="L50" s="1">
        <f>D50-287*$A50</f>
        <v>-471748.23330600001</v>
      </c>
      <c r="M50" s="1">
        <f>E50-287*$A50</f>
        <v>-472523.60812200001</v>
      </c>
    </row>
    <row r="51" spans="1:13" x14ac:dyDescent="0.25">
      <c r="A51" s="1">
        <v>1475</v>
      </c>
      <c r="B51">
        <v>-24403.698859</v>
      </c>
      <c r="C51">
        <v>-24409.864658999999</v>
      </c>
      <c r="D51">
        <v>-24471.358637000001</v>
      </c>
      <c r="E51">
        <v>-25085.625048000002</v>
      </c>
      <c r="F51" s="1">
        <f>(0.001*101300)/(287*A51)</f>
        <v>2.3929604913482547E-4</v>
      </c>
      <c r="G51" s="1">
        <f>(0.01*101300)/(287*$A51)</f>
        <v>2.392960491348255E-3</v>
      </c>
      <c r="H51" s="1">
        <f>(0.1*101300)/(287*$A51)</f>
        <v>2.392960491348255E-2</v>
      </c>
      <c r="I51" s="1">
        <f>(1*101300)/(287*$A51)</f>
        <v>0.23929604913482549</v>
      </c>
      <c r="J51" s="1">
        <f>B51-287*$A51</f>
        <v>-447728.698859</v>
      </c>
      <c r="K51" s="1">
        <f>C51-287*$A51</f>
        <v>-447734.86465900001</v>
      </c>
      <c r="L51" s="1">
        <f>D51-287*$A51</f>
        <v>-447796.35863700003</v>
      </c>
      <c r="M51" s="1">
        <f>E51-287*$A51</f>
        <v>-448410.62504800002</v>
      </c>
    </row>
    <row r="52" spans="1:13" x14ac:dyDescent="0.25">
      <c r="A52" s="1">
        <v>1500</v>
      </c>
      <c r="B52">
        <v>6773.4805824000005</v>
      </c>
      <c r="C52">
        <v>6768.5409215</v>
      </c>
      <c r="D52">
        <v>6719.4334837999995</v>
      </c>
      <c r="E52">
        <v>6228.8470579000004</v>
      </c>
      <c r="F52" s="1">
        <f>(0.001*101300)/(287*A52)</f>
        <v>2.3530778164924506E-4</v>
      </c>
      <c r="G52" s="1">
        <f>(0.01*101300)/(287*$A52)</f>
        <v>2.3530778164924508E-3</v>
      </c>
      <c r="H52" s="1">
        <f>(0.1*101300)/(287*$A52)</f>
        <v>2.3530778164924507E-2</v>
      </c>
      <c r="I52" s="1">
        <f>(1*101300)/(287*$A52)</f>
        <v>0.23530778164924507</v>
      </c>
      <c r="J52" s="1">
        <f>B52-287*$A52</f>
        <v>-423726.51941760001</v>
      </c>
      <c r="K52" s="1">
        <f>C52-287*$A52</f>
        <v>-423731.45907849999</v>
      </c>
      <c r="L52" s="1">
        <f>D52-287*$A52</f>
        <v>-423780.56651620002</v>
      </c>
      <c r="M52" s="1">
        <f>E52-287*$A52</f>
        <v>-424271.15294210002</v>
      </c>
    </row>
    <row r="53" spans="1:13" x14ac:dyDescent="0.25">
      <c r="A53" s="1">
        <v>1525</v>
      </c>
      <c r="B53">
        <v>38016.50748</v>
      </c>
      <c r="C53">
        <v>38012.504104</v>
      </c>
      <c r="D53">
        <v>37972.978421</v>
      </c>
      <c r="E53">
        <v>37578.139159999999</v>
      </c>
      <c r="F53" s="1">
        <f>(0.001*101300)/(287*A53)</f>
        <v>2.3145027703204432E-4</v>
      </c>
      <c r="G53" s="1">
        <f>(0.01*101300)/(287*$A53)</f>
        <v>2.3145027703204432E-3</v>
      </c>
      <c r="H53" s="1">
        <f>(0.1*101300)/(287*$A53)</f>
        <v>2.3145027703204434E-2</v>
      </c>
      <c r="I53" s="1">
        <f>(1*101300)/(287*$A53)</f>
        <v>0.23145027703204432</v>
      </c>
      <c r="J53" s="1">
        <f>B53-287*$A53</f>
        <v>-399658.49251999997</v>
      </c>
      <c r="K53" s="1">
        <f>C53-287*$A53</f>
        <v>-399662.49589600001</v>
      </c>
      <c r="L53" s="1">
        <f>D53-287*$A53</f>
        <v>-399702.02157899999</v>
      </c>
      <c r="M53" s="1">
        <f>E53-287*$A53</f>
        <v>-400096.86083999998</v>
      </c>
    </row>
    <row r="54" spans="1:13" x14ac:dyDescent="0.25">
      <c r="A54" s="1">
        <v>1550</v>
      </c>
      <c r="B54">
        <v>69323.257377000002</v>
      </c>
      <c r="C54">
        <v>69319.963579000003</v>
      </c>
      <c r="D54">
        <v>69287.906754999989</v>
      </c>
      <c r="E54">
        <v>68967.786066000001</v>
      </c>
      <c r="F54" s="1">
        <f>(0.001*101300)/(287*A54)</f>
        <v>2.277172080476565E-4</v>
      </c>
      <c r="G54" s="1">
        <f>(0.01*101300)/(287*$A54)</f>
        <v>2.2771720804765651E-3</v>
      </c>
      <c r="H54" s="1">
        <f>(0.1*101300)/(287*$A54)</f>
        <v>2.2771720804765652E-2</v>
      </c>
      <c r="I54" s="1">
        <f>(1*101300)/(287*$A54)</f>
        <v>0.22771720804765652</v>
      </c>
      <c r="J54" s="1">
        <f>B54-287*$A54</f>
        <v>-375526.742623</v>
      </c>
      <c r="K54" s="1">
        <f>C54-287*$A54</f>
        <v>-375530.03642100003</v>
      </c>
      <c r="L54" s="1">
        <f>D54-287*$A54</f>
        <v>-375562.093245</v>
      </c>
      <c r="M54" s="1">
        <f>E54-287*$A54</f>
        <v>-375882.213934</v>
      </c>
    </row>
    <row r="55" spans="1:13" x14ac:dyDescent="0.25">
      <c r="A55" s="1">
        <v>1575</v>
      </c>
      <c r="B55">
        <v>100691.69171999999</v>
      </c>
      <c r="C55">
        <v>100688.92175000001</v>
      </c>
      <c r="D55">
        <v>100662.72632</v>
      </c>
      <c r="E55">
        <v>100401.36035999999</v>
      </c>
      <c r="F55" s="1">
        <f>(0.001*101300)/(287*A55)</f>
        <v>2.2410264918975718E-4</v>
      </c>
      <c r="G55" s="1">
        <f>(0.01*101300)/(287*$A55)</f>
        <v>2.2410264918975718E-3</v>
      </c>
      <c r="H55" s="1">
        <f>(0.1*101300)/(287*$A55)</f>
        <v>2.2410264918975721E-2</v>
      </c>
      <c r="I55" s="1">
        <f>(1*101300)/(287*$A55)</f>
        <v>0.2241026491897572</v>
      </c>
      <c r="J55" s="1">
        <f>B55-287*$A55</f>
        <v>-351333.30828</v>
      </c>
      <c r="K55" s="1">
        <f>C55-287*$A55</f>
        <v>-351336.07825000002</v>
      </c>
      <c r="L55" s="1">
        <f>D55-287*$A55</f>
        <v>-351362.27367999998</v>
      </c>
      <c r="M55" s="1">
        <f>E55-287*$A55</f>
        <v>-351623.63964000001</v>
      </c>
    </row>
    <row r="56" spans="1:13" x14ac:dyDescent="0.25">
      <c r="A56" s="1">
        <v>1600</v>
      </c>
      <c r="B56">
        <v>132119.85829999999</v>
      </c>
      <c r="C56">
        <v>132117.44857000001</v>
      </c>
      <c r="D56">
        <v>132095.87823999999</v>
      </c>
      <c r="E56">
        <v>131881.05007</v>
      </c>
      <c r="F56" s="1">
        <f>(0.001*101300)/(287*A56)</f>
        <v>2.2060104529616725E-4</v>
      </c>
      <c r="G56" s="1">
        <f>(0.01*101300)/(287*$A56)</f>
        <v>2.2060104529616725E-3</v>
      </c>
      <c r="H56" s="1">
        <f>(0.1*101300)/(287*$A56)</f>
        <v>2.2060104529616726E-2</v>
      </c>
      <c r="I56" s="1">
        <f>(1*101300)/(287*$A56)</f>
        <v>0.22060104529616725</v>
      </c>
      <c r="J56" s="1">
        <f>B56-287*$A56</f>
        <v>-327080.14170000004</v>
      </c>
      <c r="K56" s="1">
        <f>C56-287*$A56</f>
        <v>-327082.55142999999</v>
      </c>
      <c r="L56" s="1">
        <f>D56-287*$A56</f>
        <v>-327104.12176000001</v>
      </c>
      <c r="M56" s="1">
        <f>E56-287*$A56</f>
        <v>-327318.94993</v>
      </c>
    </row>
    <row r="57" spans="1:13" x14ac:dyDescent="0.25">
      <c r="A57" s="1">
        <v>1625</v>
      </c>
      <c r="B57">
        <v>163605.89264999999</v>
      </c>
      <c r="C57">
        <v>163603.68399999998</v>
      </c>
      <c r="D57">
        <v>163585.77538000001</v>
      </c>
      <c r="E57">
        <v>163408.06237999999</v>
      </c>
      <c r="F57" s="1">
        <f>(0.001*101300)/(287*A57)</f>
        <v>2.172071830608416E-4</v>
      </c>
      <c r="G57" s="1">
        <f>(0.01*101300)/(287*$A57)</f>
        <v>2.1720718306084161E-3</v>
      </c>
      <c r="H57" s="1">
        <f>(0.1*101300)/(287*$A57)</f>
        <v>2.1720718306084161E-2</v>
      </c>
      <c r="I57" s="1">
        <f>(1*101300)/(287*$A57)</f>
        <v>0.21720718306084161</v>
      </c>
      <c r="J57" s="1">
        <f>B57-287*$A57</f>
        <v>-302769.10735000001</v>
      </c>
      <c r="K57" s="1">
        <f>C57-287*$A57</f>
        <v>-302771.31599999999</v>
      </c>
      <c r="L57" s="1">
        <f>D57-287*$A57</f>
        <v>-302789.22461999999</v>
      </c>
      <c r="M57" s="1">
        <f>E57-287*$A57</f>
        <v>-302966.93761999998</v>
      </c>
    </row>
    <row r="58" spans="1:13" x14ac:dyDescent="0.25">
      <c r="A58" s="1">
        <v>1650</v>
      </c>
      <c r="B58">
        <v>195148.02119</v>
      </c>
      <c r="C58">
        <v>195145.83981</v>
      </c>
      <c r="D58">
        <v>195130.82899000001</v>
      </c>
      <c r="E58">
        <v>194982.90805</v>
      </c>
      <c r="F58" s="1">
        <f>(0.001*101300)/(287*A58)</f>
        <v>2.1391616513567733E-4</v>
      </c>
      <c r="G58" s="1">
        <f>(0.01*101300)/(287*$A58)</f>
        <v>2.1391616513567733E-3</v>
      </c>
      <c r="H58" s="1">
        <f>(0.1*101300)/(287*$A58)</f>
        <v>2.1391616513567732E-2</v>
      </c>
      <c r="I58" s="1">
        <f>(1*101300)/(287*$A58)</f>
        <v>0.21391616513567732</v>
      </c>
      <c r="J58" s="1">
        <f>B58-287*$A58</f>
        <v>-278401.97881</v>
      </c>
      <c r="K58" s="1">
        <f>C58-287*$A58</f>
        <v>-278404.16018999997</v>
      </c>
      <c r="L58" s="1">
        <f>D58-287*$A58</f>
        <v>-278419.17100999999</v>
      </c>
      <c r="M58" s="1">
        <f>E58-287*$A58</f>
        <v>-278567.09195000003</v>
      </c>
    </row>
    <row r="59" spans="1:13" x14ac:dyDescent="0.25">
      <c r="A59" s="1">
        <v>1675</v>
      </c>
      <c r="B59">
        <v>226744.56638999999</v>
      </c>
      <c r="C59">
        <v>226742.20134</v>
      </c>
      <c r="D59">
        <v>226729.46727999998</v>
      </c>
      <c r="E59">
        <v>226605.60352999999</v>
      </c>
      <c r="F59" s="1">
        <f>(0.001*101300)/(287*A59)</f>
        <v>2.1072338655156274E-4</v>
      </c>
      <c r="G59" s="1">
        <f>(0.01*101300)/(287*$A59)</f>
        <v>2.1072338655156275E-3</v>
      </c>
      <c r="H59" s="1">
        <f>(0.1*101300)/(287*$A59)</f>
        <v>2.1072338655156276E-2</v>
      </c>
      <c r="I59" s="1">
        <f>(1*101300)/(287*$A59)</f>
        <v>0.21072338655156275</v>
      </c>
      <c r="J59" s="1">
        <f>B59-287*$A59</f>
        <v>-253980.43361000001</v>
      </c>
      <c r="K59" s="1">
        <f>C59-287*$A59</f>
        <v>-253982.79866</v>
      </c>
      <c r="L59" s="1">
        <f>D59-287*$A59</f>
        <v>-253995.53272000002</v>
      </c>
      <c r="M59" s="1">
        <f>E59-287*$A59</f>
        <v>-254119.39647000001</v>
      </c>
    </row>
    <row r="60" spans="1:13" x14ac:dyDescent="0.25">
      <c r="A60" s="1">
        <v>1700</v>
      </c>
      <c r="B60">
        <v>258393.95515000002</v>
      </c>
      <c r="C60">
        <v>258391.12970000002</v>
      </c>
      <c r="D60">
        <v>258380.14849000002</v>
      </c>
      <c r="E60">
        <v>258275.81555</v>
      </c>
      <c r="F60" s="1">
        <f>(0.001*101300)/(287*A60)</f>
        <v>2.076245132199221E-4</v>
      </c>
      <c r="G60" s="1">
        <f>(0.01*101300)/(287*$A60)</f>
        <v>2.0762451321992212E-3</v>
      </c>
      <c r="H60" s="1">
        <f>(0.1*101300)/(287*$A60)</f>
        <v>2.0762451321992212E-2</v>
      </c>
      <c r="I60" s="1">
        <f>(1*101300)/(287*$A60)</f>
        <v>0.20762451321992212</v>
      </c>
      <c r="J60" s="1">
        <f>B60-287*$A60</f>
        <v>-229506.04484999998</v>
      </c>
      <c r="K60" s="1">
        <f>C60-287*$A60</f>
        <v>-229508.87029999998</v>
      </c>
      <c r="L60" s="1">
        <f>D60-287*$A60</f>
        <v>-229519.85150999998</v>
      </c>
      <c r="M60" s="1">
        <f>E60-287*$A60</f>
        <v>-229624.18445</v>
      </c>
    </row>
    <row r="61" spans="1:13" x14ac:dyDescent="0.25">
      <c r="A61" s="1">
        <v>1725</v>
      </c>
      <c r="B61">
        <v>290094.73103999998</v>
      </c>
      <c r="C61">
        <v>290091.06480000005</v>
      </c>
      <c r="D61">
        <v>290081.37044000003</v>
      </c>
      <c r="E61">
        <v>289992.96545999998</v>
      </c>
      <c r="F61" s="1">
        <f>(0.001*101300)/(287*A61)</f>
        <v>2.0461546230369135E-4</v>
      </c>
      <c r="G61" s="1">
        <f>(0.01*101300)/(287*$A61)</f>
        <v>2.0461546230369134E-3</v>
      </c>
      <c r="H61" s="1">
        <f>(0.1*101300)/(287*$A61)</f>
        <v>2.0461546230369138E-2</v>
      </c>
      <c r="I61" s="1">
        <f>(1*101300)/(287*$A61)</f>
        <v>0.20461546230369135</v>
      </c>
      <c r="J61" s="1">
        <f>B61-287*$A61</f>
        <v>-204980.26896000002</v>
      </c>
      <c r="K61" s="1">
        <f>C61-287*$A61</f>
        <v>-204983.93519999995</v>
      </c>
      <c r="L61" s="1">
        <f>D61-287*$A61</f>
        <v>-204993.62955999997</v>
      </c>
      <c r="M61" s="1">
        <f>E61-287*$A61</f>
        <v>-205082.03454000002</v>
      </c>
    </row>
    <row r="62" spans="1:13" x14ac:dyDescent="0.25">
      <c r="A62" s="1">
        <v>1750</v>
      </c>
      <c r="B62">
        <v>321845.57191</v>
      </c>
      <c r="C62">
        <v>321840.52990999998</v>
      </c>
      <c r="D62">
        <v>321831.6777</v>
      </c>
      <c r="E62">
        <v>321756.30503000005</v>
      </c>
      <c r="F62" s="1">
        <f>(0.001*101300)/(287*A62)</f>
        <v>2.0169238427078149E-4</v>
      </c>
      <c r="G62" s="1">
        <f>(0.01*101300)/(287*$A62)</f>
        <v>2.0169238427078149E-3</v>
      </c>
      <c r="H62" s="1">
        <f>(0.1*101300)/(287*$A62)</f>
        <v>2.016923842707815E-2</v>
      </c>
      <c r="I62" s="1">
        <f>(1*101300)/(287*$A62)</f>
        <v>0.20169238427078148</v>
      </c>
      <c r="J62" s="1">
        <f>B62-287*$A62</f>
        <v>-180404.42809</v>
      </c>
      <c r="K62" s="1">
        <f>C62-287*$A62</f>
        <v>-180409.47009000002</v>
      </c>
      <c r="L62" s="1">
        <f>D62-287*$A62</f>
        <v>-180418.3223</v>
      </c>
      <c r="M62" s="1">
        <f>E62-287*$A62</f>
        <v>-180493.69496999995</v>
      </c>
    </row>
    <row r="63" spans="1:13" x14ac:dyDescent="0.25">
      <c r="A63" s="1">
        <v>1775</v>
      </c>
      <c r="B63">
        <v>353645.31432</v>
      </c>
      <c r="C63">
        <v>353638.13819000003</v>
      </c>
      <c r="D63">
        <v>353629.66752000002</v>
      </c>
      <c r="E63">
        <v>353564.97191999998</v>
      </c>
      <c r="F63" s="1">
        <f>(0.001*101300)/(287*A63)</f>
        <v>1.9885164646415076E-4</v>
      </c>
      <c r="G63" s="1">
        <f>(0.01*101300)/(287*$A63)</f>
        <v>1.9885164646415076E-3</v>
      </c>
      <c r="H63" s="1">
        <f>(0.1*101300)/(287*$A63)</f>
        <v>1.9885164646415075E-2</v>
      </c>
      <c r="I63" s="1">
        <f>(1*101300)/(287*$A63)</f>
        <v>0.19885164646415077</v>
      </c>
      <c r="J63" s="1">
        <f>B63-287*$A63</f>
        <v>-155779.68568</v>
      </c>
      <c r="K63" s="1">
        <f>C63-287*$A63</f>
        <v>-155786.86180999997</v>
      </c>
      <c r="L63" s="1">
        <f>D63-287*$A63</f>
        <v>-155795.33247999998</v>
      </c>
      <c r="M63" s="1">
        <f>E63-287*$A63</f>
        <v>-155860.02808000002</v>
      </c>
    </row>
    <row r="64" spans="1:13" x14ac:dyDescent="0.25">
      <c r="A64" s="1">
        <v>1800</v>
      </c>
      <c r="B64">
        <v>385492.98664000002</v>
      </c>
      <c r="C64">
        <v>385482.60181000002</v>
      </c>
      <c r="D64">
        <v>385473.9951</v>
      </c>
      <c r="E64">
        <v>385418.03080000001</v>
      </c>
      <c r="F64" s="1">
        <f>(0.001*101300)/(287*A64)</f>
        <v>1.9608981804103754E-4</v>
      </c>
      <c r="G64" s="1">
        <f>(0.01*101300)/(287*$A64)</f>
        <v>1.9608981804103754E-3</v>
      </c>
      <c r="H64" s="1">
        <f>(0.1*101300)/(287*$A64)</f>
        <v>1.9608981804103757E-2</v>
      </c>
      <c r="I64" s="1">
        <f>(1*101300)/(287*$A64)</f>
        <v>0.19608981804103756</v>
      </c>
      <c r="J64" s="1">
        <f>B64-287*$A64</f>
        <v>-131107.01335999998</v>
      </c>
      <c r="K64" s="1">
        <f>C64-287*$A64</f>
        <v>-131117.39818999998</v>
      </c>
      <c r="L64" s="1">
        <f>D64-287*$A64</f>
        <v>-131126.0049</v>
      </c>
      <c r="M64" s="1">
        <f>E64-287*$A64</f>
        <v>-131181.96919999999</v>
      </c>
    </row>
    <row r="65" spans="1:13" x14ac:dyDescent="0.25">
      <c r="A65" s="1">
        <v>1825</v>
      </c>
      <c r="B65">
        <v>417387.85333999997</v>
      </c>
      <c r="C65">
        <v>417372.74456000002</v>
      </c>
      <c r="D65">
        <v>417363.37908000004</v>
      </c>
      <c r="E65">
        <v>417314.50399</v>
      </c>
      <c r="F65" s="1">
        <f>(0.001*101300)/(287*A65)</f>
        <v>1.9340365615006444E-4</v>
      </c>
      <c r="G65" s="1">
        <f>(0.01*101300)/(287*$A65)</f>
        <v>1.9340365615006445E-3</v>
      </c>
      <c r="H65" s="1">
        <f>(0.1*101300)/(287*$A65)</f>
        <v>1.9340365615006443E-2</v>
      </c>
      <c r="I65" s="1">
        <f>(1*101300)/(287*$A65)</f>
        <v>0.19340365615006444</v>
      </c>
      <c r="J65" s="1">
        <f>B65-287*$A65</f>
        <v>-106387.14666000003</v>
      </c>
      <c r="K65" s="1">
        <f>C65-287*$A65</f>
        <v>-106402.25543999998</v>
      </c>
      <c r="L65" s="1">
        <f>D65-287*$A65</f>
        <v>-106411.62091999996</v>
      </c>
      <c r="M65" s="1">
        <f>E65-287*$A65</f>
        <v>-106460.49601</v>
      </c>
    </row>
    <row r="66" spans="1:13" x14ac:dyDescent="0.25">
      <c r="A66" s="1">
        <v>1850</v>
      </c>
      <c r="B66">
        <v>449329.47321000003</v>
      </c>
      <c r="C66">
        <v>449307.51871000003</v>
      </c>
      <c r="D66">
        <v>449296.60756999999</v>
      </c>
      <c r="E66">
        <v>449253.39487000002</v>
      </c>
      <c r="F66" s="1">
        <f>(0.001*101300)/(287*A66)</f>
        <v>1.907900932291176E-4</v>
      </c>
      <c r="G66" s="1">
        <f>(0.01*101300)/(287*$A66)</f>
        <v>1.9079009322911763E-3</v>
      </c>
      <c r="H66" s="1">
        <f>(0.1*101300)/(287*$A66)</f>
        <v>1.9079009322911761E-2</v>
      </c>
      <c r="I66" s="1">
        <f>(1*101300)/(287*$A66)</f>
        <v>0.19079009322911761</v>
      </c>
      <c r="J66" s="1">
        <f>B66-287*$A66</f>
        <v>-81620.526789999974</v>
      </c>
      <c r="K66" s="1">
        <f>C66-287*$A66</f>
        <v>-81642.481289999967</v>
      </c>
      <c r="L66" s="1">
        <f>D66-287*$A66</f>
        <v>-81653.392430000007</v>
      </c>
      <c r="M66" s="1">
        <f>E66-287*$A66</f>
        <v>-81696.605129999982</v>
      </c>
    </row>
    <row r="67" spans="1:13" x14ac:dyDescent="0.25">
      <c r="A67" s="1">
        <v>1875</v>
      </c>
      <c r="B67">
        <v>481317.77515</v>
      </c>
      <c r="C67">
        <v>481286.02726</v>
      </c>
      <c r="D67">
        <v>481272.54537000001</v>
      </c>
      <c r="E67">
        <v>481233.70600000001</v>
      </c>
      <c r="F67" s="1">
        <f>(0.001*101300)/(287*A67)</f>
        <v>1.8824622531939605E-4</v>
      </c>
      <c r="G67" s="1">
        <f>(0.01*101300)/(287*$A67)</f>
        <v>1.8824622531939605E-3</v>
      </c>
      <c r="H67" s="1">
        <f>(0.1*101300)/(287*$A67)</f>
        <v>1.8824622531939606E-2</v>
      </c>
      <c r="I67" s="1">
        <f>(1*101300)/(287*$A67)</f>
        <v>0.18824622531939605</v>
      </c>
      <c r="J67" s="1">
        <f>B67-287*$A67</f>
        <v>-56807.224849999999</v>
      </c>
      <c r="K67" s="1">
        <f>C67-287*$A67</f>
        <v>-56838.972739999997</v>
      </c>
      <c r="L67" s="1">
        <f>D67-287*$A67</f>
        <v>-56852.454629999993</v>
      </c>
      <c r="M67" s="1">
        <f>E67-287*$A67</f>
        <v>-56891.293999999994</v>
      </c>
    </row>
    <row r="68" spans="1:13" x14ac:dyDescent="0.25">
      <c r="A68" s="1">
        <v>1900</v>
      </c>
      <c r="B68">
        <v>513353.15576000005</v>
      </c>
      <c r="C68">
        <v>513307.55287999997</v>
      </c>
      <c r="D68">
        <v>513290.14296000003</v>
      </c>
      <c r="E68">
        <v>513254.45373000001</v>
      </c>
      <c r="F68" s="1">
        <f>(0.001*101300)/(287*A68)</f>
        <v>1.8576930130203558E-4</v>
      </c>
      <c r="G68" s="1">
        <f>(0.01*101300)/(287*$A68)</f>
        <v>1.8576930130203557E-3</v>
      </c>
      <c r="H68" s="1">
        <f>(0.1*101300)/(287*$A68)</f>
        <v>1.8576930130203558E-2</v>
      </c>
      <c r="I68" s="1">
        <f>(1*101300)/(287*$A68)</f>
        <v>0.18576930130203559</v>
      </c>
      <c r="J68" s="1">
        <f>B68-287*$A68</f>
        <v>-31946.844239999948</v>
      </c>
      <c r="K68" s="1">
        <f>C68-287*$A68</f>
        <v>-31992.447120000026</v>
      </c>
      <c r="L68" s="1">
        <f>D68-287*$A68</f>
        <v>-32009.857039999973</v>
      </c>
      <c r="M68" s="1">
        <f>E68-287*$A68</f>
        <v>-32045.546269999992</v>
      </c>
    </row>
    <row r="69" spans="1:13" x14ac:dyDescent="0.25">
      <c r="A69" s="1">
        <v>1925</v>
      </c>
      <c r="B69">
        <v>545436.60411999992</v>
      </c>
      <c r="C69">
        <v>545371.59490000003</v>
      </c>
      <c r="D69">
        <v>545348.44773999997</v>
      </c>
      <c r="E69">
        <v>545314.68045999995</v>
      </c>
      <c r="F69" s="1">
        <f>(0.001*101300)/(287*A69)</f>
        <v>1.8335671297343772E-4</v>
      </c>
      <c r="G69" s="1">
        <f>(0.01*101300)/(287*$A69)</f>
        <v>1.833567129734377E-3</v>
      </c>
      <c r="H69" s="1">
        <f>(0.1*101300)/(287*$A69)</f>
        <v>1.8335671297343772E-2</v>
      </c>
      <c r="I69" s="1">
        <f>(1*101300)/(287*$A69)</f>
        <v>0.18335671297343772</v>
      </c>
      <c r="J69" s="1">
        <f>B69-287*$A69</f>
        <v>-7038.3958800000837</v>
      </c>
      <c r="K69" s="1">
        <f>C69-287*$A69</f>
        <v>-7103.4050999999745</v>
      </c>
      <c r="L69" s="1">
        <f>D69-287*$A69</f>
        <v>-7126.5522600000259</v>
      </c>
      <c r="M69" s="1">
        <f>E69-287*$A69</f>
        <v>-7160.319540000055</v>
      </c>
    </row>
    <row r="70" spans="1:13" x14ac:dyDescent="0.25">
      <c r="A70" s="1">
        <v>1950</v>
      </c>
      <c r="B70">
        <v>577569.86031999998</v>
      </c>
      <c r="C70">
        <v>577477.91634999996</v>
      </c>
      <c r="D70">
        <v>577446.61810000008</v>
      </c>
      <c r="E70">
        <v>577413.46554999996</v>
      </c>
      <c r="F70" s="1">
        <f>(0.001*101300)/(287*A70)</f>
        <v>1.8100598588403465E-4</v>
      </c>
      <c r="G70" s="1">
        <f>(0.01*101300)/(287*$A70)</f>
        <v>1.8100598588403466E-3</v>
      </c>
      <c r="H70" s="1">
        <f>(0.1*101300)/(287*$A70)</f>
        <v>1.8100598588403467E-2</v>
      </c>
      <c r="I70" s="1">
        <f>(1*101300)/(287*$A70)</f>
        <v>0.18100598588403466</v>
      </c>
      <c r="J70" s="1">
        <f>B70-287*$A70</f>
        <v>17919.860319999978</v>
      </c>
      <c r="K70" s="1">
        <f>C70-287*$A70</f>
        <v>17827.916349999956</v>
      </c>
      <c r="L70" s="1">
        <f>D70-287*$A70</f>
        <v>17796.61810000008</v>
      </c>
      <c r="M70" s="1">
        <f>E70-287*$A70</f>
        <v>17763.465549999964</v>
      </c>
    </row>
    <row r="71" spans="1:13" x14ac:dyDescent="0.25">
      <c r="A71" s="1">
        <v>1975</v>
      </c>
      <c r="B71">
        <v>609755.61581999995</v>
      </c>
      <c r="C71">
        <v>609626.6028799999</v>
      </c>
      <c r="D71">
        <v>609583.94108000002</v>
      </c>
      <c r="E71">
        <v>609549.93559999997</v>
      </c>
      <c r="F71" s="1">
        <f>(0.001*101300)/(287*A71)</f>
        <v>1.7871477087284436E-4</v>
      </c>
      <c r="G71" s="1">
        <f>(0.01*101300)/(287*$A71)</f>
        <v>1.7871477087284436E-3</v>
      </c>
      <c r="H71" s="1">
        <f>(0.1*101300)/(287*$A71)</f>
        <v>1.7871477087284437E-2</v>
      </c>
      <c r="I71" s="1">
        <f>(1*101300)/(287*$A71)</f>
        <v>0.17871477087284435</v>
      </c>
      <c r="J71" s="1">
        <f>B71-287*$A71</f>
        <v>42930.615819999948</v>
      </c>
      <c r="K71" s="1">
        <f>C71-287*$A71</f>
        <v>42801.602879999904</v>
      </c>
      <c r="L71" s="1">
        <f>D71-287*$A71</f>
        <v>42758.941080000019</v>
      </c>
      <c r="M71" s="1">
        <f>E71-287*$A71</f>
        <v>42724.935599999968</v>
      </c>
    </row>
    <row r="72" spans="1:13" x14ac:dyDescent="0.25">
      <c r="A72" s="1">
        <v>2000</v>
      </c>
      <c r="B72">
        <v>641997.76601000002</v>
      </c>
      <c r="C72">
        <v>641818.13630000001</v>
      </c>
      <c r="D72">
        <v>641759.85436999996</v>
      </c>
      <c r="E72">
        <v>641723.27480000001</v>
      </c>
      <c r="F72" s="1">
        <f>(0.001*101300)/(287*A72)</f>
        <v>1.764808362369338E-4</v>
      </c>
      <c r="G72" s="1">
        <f>(0.01*101300)/(287*$A72)</f>
        <v>1.764808362369338E-3</v>
      </c>
      <c r="H72" s="1">
        <f>(0.1*101300)/(287*$A72)</f>
        <v>1.764808362369338E-2</v>
      </c>
      <c r="I72" s="1">
        <f>(1*101300)/(287*$A72)</f>
        <v>0.17648083623693381</v>
      </c>
      <c r="J72" s="1">
        <f>B72-287*$A72</f>
        <v>67997.766010000021</v>
      </c>
      <c r="K72" s="1">
        <f>C72-287*$A72</f>
        <v>67818.136300000013</v>
      </c>
      <c r="L72" s="1">
        <f>D72-287*$A72</f>
        <v>67759.854369999957</v>
      </c>
      <c r="M72" s="1">
        <f>E72-287*$A72</f>
        <v>67723.274800000014</v>
      </c>
    </row>
    <row r="73" spans="1:13" x14ac:dyDescent="0.25">
      <c r="A73" s="1">
        <v>2025</v>
      </c>
      <c r="B73">
        <v>674301.72808999999</v>
      </c>
      <c r="C73">
        <v>674053.48552999995</v>
      </c>
      <c r="D73">
        <v>673973.97340999998</v>
      </c>
      <c r="E73">
        <v>673932.73589000001</v>
      </c>
      <c r="F73" s="1">
        <f>(0.001*101300)/(287*A73)</f>
        <v>1.7430206048092226E-4</v>
      </c>
      <c r="G73" s="1">
        <f>(0.01*101300)/(287*$A73)</f>
        <v>1.7430206048092227E-3</v>
      </c>
      <c r="H73" s="1">
        <f>(0.1*101300)/(287*$A73)</f>
        <v>1.7430206048092228E-2</v>
      </c>
      <c r="I73" s="1">
        <f>(1*101300)/(287*$A73)</f>
        <v>0.17430206048092228</v>
      </c>
      <c r="J73" s="1">
        <f>B73-287*$A73</f>
        <v>93126.72808999999</v>
      </c>
      <c r="K73" s="1">
        <f>C73-287*$A73</f>
        <v>92878.485529999947</v>
      </c>
      <c r="L73" s="1">
        <f>D73-287*$A73</f>
        <v>92798.973409999977</v>
      </c>
      <c r="M73" s="1">
        <f>E73-287*$A73</f>
        <v>92757.735890000011</v>
      </c>
    </row>
    <row r="74" spans="1:13" x14ac:dyDescent="0.25">
      <c r="A74" s="1">
        <v>2050</v>
      </c>
      <c r="B74">
        <v>706674.84138999996</v>
      </c>
      <c r="C74">
        <v>706334.21860999998</v>
      </c>
      <c r="D74">
        <v>706226.1246000001</v>
      </c>
      <c r="E74">
        <v>706177.65231999999</v>
      </c>
      <c r="F74" s="1">
        <f>(0.001*101300)/(287*A74)</f>
        <v>1.7217642559700858E-4</v>
      </c>
      <c r="G74" s="1">
        <f>(0.01*101300)/(287*$A74)</f>
        <v>1.7217642559700858E-3</v>
      </c>
      <c r="H74" s="1">
        <f>(0.1*101300)/(287*$A74)</f>
        <v>1.7217642559700857E-2</v>
      </c>
      <c r="I74" s="1">
        <f>(1*101300)/(287*$A74)</f>
        <v>0.17217642559700858</v>
      </c>
      <c r="J74" s="1">
        <f>B74-287*$A74</f>
        <v>118324.84138999996</v>
      </c>
      <c r="K74" s="1">
        <f>C74-287*$A74</f>
        <v>117984.21860999998</v>
      </c>
      <c r="L74" s="1">
        <f>D74-287*$A74</f>
        <v>117876.1246000001</v>
      </c>
      <c r="M74" s="1">
        <f>E74-287*$A74</f>
        <v>117827.65231999999</v>
      </c>
    </row>
    <row r="75" spans="1:13" x14ac:dyDescent="0.25">
      <c r="A75" s="1">
        <v>2075</v>
      </c>
      <c r="B75">
        <v>739126.87228000001</v>
      </c>
      <c r="C75">
        <v>738662.64005000005</v>
      </c>
      <c r="D75">
        <v>738516.38576000009</v>
      </c>
      <c r="E75">
        <v>738457.45198000001</v>
      </c>
      <c r="F75" s="1">
        <f>(0.001*101300)/(287*A75)</f>
        <v>1.7010201083077957E-4</v>
      </c>
      <c r="G75" s="1">
        <f>(0.01*101300)/(287*$A75)</f>
        <v>1.7010201083077956E-3</v>
      </c>
      <c r="H75" s="1">
        <f>(0.1*101300)/(287*$A75)</f>
        <v>1.7010201083077957E-2</v>
      </c>
      <c r="I75" s="1">
        <f>(1*101300)/(287*$A75)</f>
        <v>0.17010201083077955</v>
      </c>
      <c r="J75" s="1">
        <f>B75-287*$A75</f>
        <v>143601.87228000001</v>
      </c>
      <c r="K75" s="1">
        <f>C75-287*$A75</f>
        <v>143137.64005000005</v>
      </c>
      <c r="L75" s="1">
        <f>D75-287*$A75</f>
        <v>142991.38576000009</v>
      </c>
      <c r="M75" s="1">
        <f>E75-287*$A75</f>
        <v>142932.45198000001</v>
      </c>
    </row>
    <row r="76" spans="1:13" x14ac:dyDescent="0.25">
      <c r="A76" s="1">
        <v>2100</v>
      </c>
      <c r="B76">
        <v>771670.65358000004</v>
      </c>
      <c r="C76">
        <v>771041.95874999999</v>
      </c>
      <c r="D76">
        <v>770845.13506999996</v>
      </c>
      <c r="E76">
        <v>770771.67314999993</v>
      </c>
      <c r="F76" s="1">
        <f>(0.001*101300)/(287*A76)</f>
        <v>1.6807698689231789E-4</v>
      </c>
      <c r="G76" s="1">
        <f>(0.01*101300)/(287*$A76)</f>
        <v>1.680769868923179E-3</v>
      </c>
      <c r="H76" s="1">
        <f>(0.1*101300)/(287*$A76)</f>
        <v>1.6807698689231789E-2</v>
      </c>
      <c r="I76" s="1">
        <f>(1*101300)/(287*$A76)</f>
        <v>0.1680769868923179</v>
      </c>
      <c r="J76" s="1">
        <f>B76-287*$A76</f>
        <v>168970.65358000004</v>
      </c>
      <c r="K76" s="1">
        <f>C76-287*$A76</f>
        <v>168341.95874999999</v>
      </c>
      <c r="L76" s="1">
        <f>D76-287*$A76</f>
        <v>168145.13506999996</v>
      </c>
      <c r="M76" s="1">
        <f>E76-287*$A76</f>
        <v>168071.67314999993</v>
      </c>
    </row>
    <row r="77" spans="1:13" x14ac:dyDescent="0.25">
      <c r="A77" s="1">
        <v>2125</v>
      </c>
      <c r="B77">
        <v>804322.89827999996</v>
      </c>
      <c r="C77">
        <v>803476.49314000004</v>
      </c>
      <c r="D77">
        <v>803213.10991999996</v>
      </c>
      <c r="E77">
        <v>803119.98301000008</v>
      </c>
      <c r="F77" s="1">
        <f>(0.001*101300)/(287*A77)</f>
        <v>1.6609961057593769E-4</v>
      </c>
      <c r="G77" s="1">
        <f>(0.01*101300)/(287*$A77)</f>
        <v>1.6609961057593768E-3</v>
      </c>
      <c r="H77" s="1">
        <f>(0.1*101300)/(287*$A77)</f>
        <v>1.660996105759377E-2</v>
      </c>
      <c r="I77" s="1">
        <f>(1*101300)/(287*$A77)</f>
        <v>0.1660996105759377</v>
      </c>
      <c r="J77" s="1">
        <f>B77-287*$A77</f>
        <v>194447.89827999996</v>
      </c>
      <c r="K77" s="1">
        <f>C77-287*$A77</f>
        <v>193601.49314000004</v>
      </c>
      <c r="L77" s="1">
        <f>D77-287*$A77</f>
        <v>193338.10991999996</v>
      </c>
      <c r="M77" s="1">
        <f>E77-287*$A77</f>
        <v>193244.98301000008</v>
      </c>
    </row>
    <row r="78" spans="1:13" x14ac:dyDescent="0.25">
      <c r="A78" s="1">
        <v>2150</v>
      </c>
      <c r="B78">
        <v>837105.24154999992</v>
      </c>
      <c r="C78">
        <v>835971.92141999991</v>
      </c>
      <c r="D78">
        <v>835621.47746999993</v>
      </c>
      <c r="E78">
        <v>835502.19935000001</v>
      </c>
      <c r="F78" s="1">
        <f>(0.001*101300)/(287*A78)</f>
        <v>1.6416821975528725E-4</v>
      </c>
      <c r="G78" s="1">
        <f>(0.01*101300)/(287*$A78)</f>
        <v>1.6416821975528725E-3</v>
      </c>
      <c r="H78" s="1">
        <f>(0.1*101300)/(287*$A78)</f>
        <v>1.6416821975528725E-2</v>
      </c>
      <c r="I78" s="1">
        <f>(1*101300)/(287*$A78)</f>
        <v>0.16416821975528725</v>
      </c>
      <c r="J78" s="1">
        <f>B78-287*$A78</f>
        <v>220055.24154999992</v>
      </c>
      <c r="K78" s="1">
        <f>C78-287*$A78</f>
        <v>218921.92141999991</v>
      </c>
      <c r="L78" s="1">
        <f>D78-287*$A78</f>
        <v>218571.47746999993</v>
      </c>
      <c r="M78" s="1">
        <f>E78-287*$A78</f>
        <v>218452.19935000001</v>
      </c>
    </row>
    <row r="79" spans="1:13" x14ac:dyDescent="0.25">
      <c r="A79" s="1">
        <v>2175</v>
      </c>
      <c r="B79">
        <v>870045.58432000002</v>
      </c>
      <c r="C79">
        <v>868535.58764000004</v>
      </c>
      <c r="D79">
        <v>868071.91868</v>
      </c>
      <c r="E79">
        <v>867918.31605000002</v>
      </c>
      <c r="F79" s="1">
        <f>(0.001*101300)/(287*A79)</f>
        <v>1.6228122872361729E-4</v>
      </c>
      <c r="G79" s="1">
        <f>(0.01*101300)/(287*$A79)</f>
        <v>1.622812287236173E-3</v>
      </c>
      <c r="H79" s="1">
        <f>(0.1*101300)/(287*$A79)</f>
        <v>1.6228122872361729E-2</v>
      </c>
      <c r="I79" s="1">
        <f>(1*101300)/(287*$A79)</f>
        <v>0.16228122872361728</v>
      </c>
      <c r="J79" s="1">
        <f>B79-287*$A79</f>
        <v>245820.58432000002</v>
      </c>
      <c r="K79" s="1">
        <f>C79-287*$A79</f>
        <v>244310.58764000004</v>
      </c>
      <c r="L79" s="1">
        <f>D79-287*$A79</f>
        <v>243846.91868</v>
      </c>
      <c r="M79" s="1">
        <f>E79-287*$A79</f>
        <v>243693.31605000002</v>
      </c>
    </row>
    <row r="80" spans="1:13" x14ac:dyDescent="0.25">
      <c r="A80" s="1">
        <v>2200</v>
      </c>
      <c r="B80">
        <v>903179.83850999991</v>
      </c>
      <c r="C80">
        <v>901176.87641000003</v>
      </c>
      <c r="D80">
        <v>900566.72852999996</v>
      </c>
      <c r="E80">
        <v>900368.53283000004</v>
      </c>
      <c r="F80" s="1">
        <f>(0.001*101300)/(287*A80)</f>
        <v>1.6043712385175799E-4</v>
      </c>
      <c r="G80" s="1">
        <f>(0.01*101300)/(287*$A80)</f>
        <v>1.6043712385175801E-3</v>
      </c>
      <c r="H80" s="1">
        <f>(0.1*101300)/(287*$A80)</f>
        <v>1.6043712385175799E-2</v>
      </c>
      <c r="I80" s="1">
        <f>(1*101300)/(287*$A80)</f>
        <v>0.16043712385175798</v>
      </c>
      <c r="J80" s="1">
        <f>B80-287*$A80</f>
        <v>271779.83850999991</v>
      </c>
      <c r="K80" s="1">
        <f>C80-287*$A80</f>
        <v>269776.87641000003</v>
      </c>
      <c r="L80" s="1">
        <f>D80-287*$A80</f>
        <v>269166.72852999996</v>
      </c>
      <c r="M80" s="1">
        <f>E80-287*$A80</f>
        <v>268968.53283000004</v>
      </c>
    </row>
    <row r="81" spans="1:13" x14ac:dyDescent="0.25">
      <c r="A81" s="1">
        <v>2225</v>
      </c>
      <c r="B81">
        <v>936554.20993999997</v>
      </c>
      <c r="C81">
        <v>933907.67376999999</v>
      </c>
      <c r="D81">
        <v>933108.93484</v>
      </c>
      <c r="E81">
        <v>932853.28997000004</v>
      </c>
      <c r="F81" s="1">
        <f>(0.001*101300)/(287*A81)</f>
        <v>1.5863445953881688E-4</v>
      </c>
      <c r="G81" s="1">
        <f>(0.01*101300)/(287*$A81)</f>
        <v>1.5863445953881691E-3</v>
      </c>
      <c r="H81" s="1">
        <f>(0.1*101300)/(287*$A81)</f>
        <v>1.5863445953881689E-2</v>
      </c>
      <c r="I81" s="1">
        <f>(1*101300)/(287*$A81)</f>
        <v>0.15863445953881689</v>
      </c>
      <c r="J81" s="1">
        <f>B81-287*$A81</f>
        <v>297979.20993999997</v>
      </c>
      <c r="K81" s="1">
        <f>C81-287*$A81</f>
        <v>295332.67376999999</v>
      </c>
      <c r="L81" s="1">
        <f>D81-287*$A81</f>
        <v>294533.93484</v>
      </c>
      <c r="M81" s="1">
        <f>E81-287*$A81</f>
        <v>294278.28997000004</v>
      </c>
    </row>
    <row r="82" spans="1:13" x14ac:dyDescent="0.25">
      <c r="A82" s="1">
        <v>2250</v>
      </c>
      <c r="B82">
        <v>970228.20417000004</v>
      </c>
      <c r="C82">
        <v>966742.93609999993</v>
      </c>
      <c r="D82">
        <v>965702.43940999999</v>
      </c>
      <c r="E82">
        <v>965373.30891000002</v>
      </c>
      <c r="F82" s="1">
        <f>(0.001*101300)/(287*A82)</f>
        <v>1.5687185443283004E-4</v>
      </c>
      <c r="G82" s="1">
        <f>(0.01*101300)/(287*$A82)</f>
        <v>1.5687185443283005E-3</v>
      </c>
      <c r="H82" s="1">
        <f>(0.1*101300)/(287*$A82)</f>
        <v>1.5687185443283003E-2</v>
      </c>
      <c r="I82" s="1">
        <f>(1*101300)/(287*$A82)</f>
        <v>0.15687185443283005</v>
      </c>
      <c r="J82" s="1">
        <f>B82-287*$A82</f>
        <v>324478.20417000004</v>
      </c>
      <c r="K82" s="1">
        <f>C82-287*$A82</f>
        <v>320992.93609999993</v>
      </c>
      <c r="L82" s="1">
        <f>D82-287*$A82</f>
        <v>319952.43940999999</v>
      </c>
      <c r="M82" s="1">
        <f>E82-287*$A82</f>
        <v>319623.30891000002</v>
      </c>
    </row>
    <row r="83" spans="1:13" x14ac:dyDescent="0.25">
      <c r="A83" s="1">
        <v>2275</v>
      </c>
      <c r="B83">
        <v>1004278.6063999999</v>
      </c>
      <c r="C83">
        <v>999701.39645999996</v>
      </c>
      <c r="D83">
        <v>998352.18540999992</v>
      </c>
      <c r="E83">
        <v>997929.63919999998</v>
      </c>
      <c r="F83" s="1">
        <f>(0.001*101300)/(287*A83)</f>
        <v>1.5514798790060112E-4</v>
      </c>
      <c r="G83" s="1">
        <f>(0.01*101300)/(287*$A83)</f>
        <v>1.5514798790060113E-3</v>
      </c>
      <c r="H83" s="1">
        <f>(0.1*101300)/(287*$A83)</f>
        <v>1.5514798790060114E-2</v>
      </c>
      <c r="I83" s="1">
        <f>(1*101300)/(287*$A83)</f>
        <v>0.15514798790060114</v>
      </c>
      <c r="J83" s="1">
        <f>B83-287*$A83</f>
        <v>351353.60639999993</v>
      </c>
      <c r="K83" s="1">
        <f>C83-287*$A83</f>
        <v>346776.39645999996</v>
      </c>
      <c r="L83" s="1">
        <f>D83-287*$A83</f>
        <v>345427.18540999992</v>
      </c>
      <c r="M83" s="1">
        <f>E83-287*$A83</f>
        <v>345004.63919999998</v>
      </c>
    </row>
    <row r="84" spans="1:13" x14ac:dyDescent="0.25">
      <c r="A84" s="1">
        <v>2300</v>
      </c>
      <c r="B84">
        <v>1038804.7738</v>
      </c>
      <c r="C84">
        <v>1032806.4462</v>
      </c>
      <c r="D84">
        <v>1031064.3563999999</v>
      </c>
      <c r="E84">
        <v>1030523.7132</v>
      </c>
      <c r="F84" s="1">
        <f>(0.001*101300)/(287*A84)</f>
        <v>1.5346159672776852E-4</v>
      </c>
      <c r="G84" s="1">
        <f>(0.01*101300)/(287*$A84)</f>
        <v>1.5346159672776853E-3</v>
      </c>
      <c r="H84" s="1">
        <f>(0.1*101300)/(287*$A84)</f>
        <v>1.5346159672776851E-2</v>
      </c>
      <c r="I84" s="1">
        <f>(1*101300)/(287*$A84)</f>
        <v>0.15346159672776852</v>
      </c>
      <c r="J84" s="1">
        <f>B84-287*$A84</f>
        <v>378704.77379999997</v>
      </c>
      <c r="K84" s="1">
        <f>C84-287*$A84</f>
        <v>372706.44620000001</v>
      </c>
      <c r="L84" s="1">
        <f>D84-287*$A84</f>
        <v>370964.35639999993</v>
      </c>
      <c r="M84" s="1">
        <f>E84-287*$A84</f>
        <v>370423.7132</v>
      </c>
    </row>
    <row r="85" spans="1:13" x14ac:dyDescent="0.25">
      <c r="A85" s="1">
        <v>2325</v>
      </c>
      <c r="B85">
        <v>1073935.6956</v>
      </c>
      <c r="C85">
        <v>1066087.2420000001</v>
      </c>
      <c r="D85">
        <v>1063846.6129999999</v>
      </c>
      <c r="E85">
        <v>1063157.4091</v>
      </c>
      <c r="F85" s="1">
        <f>(0.001*101300)/(287*A85)</f>
        <v>1.51811472031771E-4</v>
      </c>
      <c r="G85" s="1">
        <f>(0.01*101300)/(287*$A85)</f>
        <v>1.5181147203177101E-3</v>
      </c>
      <c r="H85" s="1">
        <f>(0.1*101300)/(287*$A85)</f>
        <v>1.5181147203177101E-2</v>
      </c>
      <c r="I85" s="1">
        <f>(1*101300)/(287*$A85)</f>
        <v>0.15181147203177101</v>
      </c>
      <c r="J85" s="1">
        <f>B85-287*$A85</f>
        <v>406660.69559999998</v>
      </c>
      <c r="K85" s="1">
        <f>C85-287*$A85</f>
        <v>398812.24200000009</v>
      </c>
      <c r="L85" s="1">
        <f>D85-287*$A85</f>
        <v>396571.6129999999</v>
      </c>
      <c r="M85" s="1">
        <f>E85-287*$A85</f>
        <v>395882.40910000005</v>
      </c>
    </row>
    <row r="86" spans="1:13" x14ac:dyDescent="0.25">
      <c r="A86" s="1">
        <v>2350</v>
      </c>
      <c r="B86">
        <v>1109839.4267000002</v>
      </c>
      <c r="C86">
        <v>1099580.1032</v>
      </c>
      <c r="D86">
        <v>1096708.3757</v>
      </c>
      <c r="E86">
        <v>1095833.1244000001</v>
      </c>
      <c r="F86" s="1">
        <f>(0.001*101300)/(287*A86)</f>
        <v>1.5019645637185855E-4</v>
      </c>
      <c r="G86" s="1">
        <f>(0.01*101300)/(287*$A86)</f>
        <v>1.5019645637185854E-3</v>
      </c>
      <c r="H86" s="1">
        <f>(0.1*101300)/(287*$A86)</f>
        <v>1.5019645637185854E-2</v>
      </c>
      <c r="I86" s="1">
        <f>(1*101300)/(287*$A86)</f>
        <v>0.15019645637185855</v>
      </c>
      <c r="J86" s="1">
        <f>B86-287*$A86</f>
        <v>435389.42670000019</v>
      </c>
      <c r="K86" s="1">
        <f>C86-287*$A86</f>
        <v>425130.10320000001</v>
      </c>
      <c r="L86" s="1">
        <f>D86-287*$A86</f>
        <v>422258.37569999998</v>
      </c>
      <c r="M86" s="1">
        <f>E86-287*$A86</f>
        <v>421383.12440000009</v>
      </c>
    </row>
    <row r="87" spans="1:13" x14ac:dyDescent="0.25">
      <c r="A87" s="1">
        <v>2375</v>
      </c>
      <c r="B87">
        <v>1146735.6990999999</v>
      </c>
      <c r="C87">
        <v>1133330.2859</v>
      </c>
      <c r="D87">
        <v>1129661.1632999999</v>
      </c>
      <c r="E87">
        <v>1128553.8595999999</v>
      </c>
      <c r="F87" s="1">
        <f>(0.001*101300)/(287*A87)</f>
        <v>1.4861544104162846E-4</v>
      </c>
      <c r="G87" s="1">
        <f>(0.01*101300)/(287*$A87)</f>
        <v>1.4861544104162847E-3</v>
      </c>
      <c r="H87" s="1">
        <f>(0.1*101300)/(287*$A87)</f>
        <v>1.4861544104162846E-2</v>
      </c>
      <c r="I87" s="1">
        <f>(1*101300)/(287*$A87)</f>
        <v>0.14861544104162847</v>
      </c>
      <c r="J87" s="1">
        <f>B87-287*$A87</f>
        <v>465110.69909999985</v>
      </c>
      <c r="K87" s="1">
        <f>C87-287*$A87</f>
        <v>451705.28590000002</v>
      </c>
      <c r="L87" s="1">
        <f>D87-287*$A87</f>
        <v>448036.1632999999</v>
      </c>
      <c r="M87" s="1">
        <f>E87-287*$A87</f>
        <v>446928.85959999985</v>
      </c>
    </row>
    <row r="88" spans="1:13" x14ac:dyDescent="0.25">
      <c r="A88" s="1">
        <v>2400</v>
      </c>
      <c r="B88">
        <v>1184912.7693999999</v>
      </c>
      <c r="C88">
        <v>1167394.2431999999</v>
      </c>
      <c r="D88">
        <v>1162719.0001999999</v>
      </c>
      <c r="E88">
        <v>1161323.3167000001</v>
      </c>
      <c r="F88" s="1">
        <f>(0.001*101300)/(287*A88)</f>
        <v>1.4706736353077817E-4</v>
      </c>
      <c r="G88" s="1">
        <f>(0.01*101300)/(287*$A88)</f>
        <v>1.4706736353077817E-3</v>
      </c>
      <c r="H88" s="1">
        <f>(0.1*101300)/(287*$A88)</f>
        <v>1.4706736353077817E-2</v>
      </c>
      <c r="I88" s="1">
        <f>(1*101300)/(287*$A88)</f>
        <v>0.14706736353077818</v>
      </c>
      <c r="J88" s="1">
        <f>B88-287*$A88</f>
        <v>496112.76939999987</v>
      </c>
      <c r="K88" s="1">
        <f>C88-287*$A88</f>
        <v>478594.24319999991</v>
      </c>
      <c r="L88" s="1">
        <f>D88-287*$A88</f>
        <v>473919.00019999989</v>
      </c>
      <c r="M88" s="1">
        <f>E88-287*$A88</f>
        <v>472523.31670000008</v>
      </c>
    </row>
    <row r="89" spans="1:13" x14ac:dyDescent="0.25">
      <c r="A89" s="1">
        <v>2425</v>
      </c>
      <c r="B89">
        <v>1224749.8852000001</v>
      </c>
      <c r="C89">
        <v>1201842.5177</v>
      </c>
      <c r="D89">
        <v>1195898.9079999998</v>
      </c>
      <c r="E89">
        <v>1194146.0109999999</v>
      </c>
      <c r="F89" s="1">
        <f>(0.001*101300)/(287*A89)</f>
        <v>1.4555120514386292E-4</v>
      </c>
      <c r="G89" s="1">
        <f>(0.01*101300)/(287*$A89)</f>
        <v>1.4555120514386293E-3</v>
      </c>
      <c r="H89" s="1">
        <f>(0.1*101300)/(287*$A89)</f>
        <v>1.4555120514386292E-2</v>
      </c>
      <c r="I89" s="1">
        <f>(1*101300)/(287*$A89)</f>
        <v>0.14555120514386294</v>
      </c>
      <c r="J89" s="1">
        <f>B89-287*$A89</f>
        <v>528774.88520000014</v>
      </c>
      <c r="K89" s="1">
        <f>C89-287*$A89</f>
        <v>505867.51769999997</v>
      </c>
      <c r="L89" s="1">
        <f>D89-287*$A89</f>
        <v>499923.90799999982</v>
      </c>
      <c r="M89" s="1">
        <f>E89-287*$A89</f>
        <v>498171.01099999994</v>
      </c>
    </row>
    <row r="90" spans="1:13" x14ac:dyDescent="0.25">
      <c r="A90" s="1">
        <v>2450</v>
      </c>
      <c r="B90">
        <v>1266747.1654000001</v>
      </c>
      <c r="C90">
        <v>1236763.4508</v>
      </c>
      <c r="D90">
        <v>1229221.5023000001</v>
      </c>
      <c r="E90">
        <v>1227027.4027999998</v>
      </c>
      <c r="F90" s="1">
        <f>(0.001*101300)/(287*A90)</f>
        <v>1.4406598876484392E-4</v>
      </c>
      <c r="G90" s="1">
        <f>(0.01*101300)/(287*$A90)</f>
        <v>1.4406598876484391E-3</v>
      </c>
      <c r="H90" s="1">
        <f>(0.1*101300)/(287*$A90)</f>
        <v>1.4406598876484392E-2</v>
      </c>
      <c r="I90" s="1">
        <f>(1*101300)/(287*$A90)</f>
        <v>0.14406598876484392</v>
      </c>
      <c r="J90" s="1">
        <f>B90-287*$A90</f>
        <v>563597.16540000006</v>
      </c>
      <c r="K90" s="1">
        <f>C90-287*$A90</f>
        <v>533613.45079999999</v>
      </c>
      <c r="L90" s="1">
        <f>D90-287*$A90</f>
        <v>526071.50230000005</v>
      </c>
      <c r="M90" s="1">
        <f>E90-287*$A90</f>
        <v>523877.40279999981</v>
      </c>
    </row>
    <row r="91" spans="1:13" x14ac:dyDescent="0.25">
      <c r="A91" s="1">
        <v>2475</v>
      </c>
      <c r="B91">
        <v>1311565.2052999998</v>
      </c>
      <c r="C91">
        <v>1272267.9479</v>
      </c>
      <c r="D91">
        <v>1262711.7201999999</v>
      </c>
      <c r="E91">
        <v>1259974.0478000001</v>
      </c>
      <c r="F91" s="1">
        <f>(0.001*101300)/(287*A91)</f>
        <v>1.4261077675711823E-4</v>
      </c>
      <c r="G91" s="1">
        <f>(0.01*101300)/(287*$A91)</f>
        <v>1.4261077675711822E-3</v>
      </c>
      <c r="H91" s="1">
        <f>(0.1*101300)/(287*$A91)</f>
        <v>1.4261077675711822E-2</v>
      </c>
      <c r="I91" s="1">
        <f>(1*101300)/(287*$A91)</f>
        <v>0.14261077675711822</v>
      </c>
      <c r="J91" s="1">
        <f>B91-287*$A91</f>
        <v>601240.2052999998</v>
      </c>
      <c r="K91" s="1">
        <f>C91-287*$A91</f>
        <v>561942.94790000003</v>
      </c>
      <c r="L91" s="1">
        <f>D91-287*$A91</f>
        <v>552386.72019999987</v>
      </c>
      <c r="M91" s="1">
        <f>E91-287*$A91</f>
        <v>549649.04780000006</v>
      </c>
    </row>
    <row r="92" spans="1:13" x14ac:dyDescent="0.25">
      <c r="A92" s="1">
        <v>2500</v>
      </c>
      <c r="B92">
        <v>1360077.358</v>
      </c>
      <c r="C92">
        <v>1308495.6040000001</v>
      </c>
      <c r="D92">
        <v>1296399.7099000001</v>
      </c>
      <c r="E92">
        <v>1292993.7742999999</v>
      </c>
      <c r="F92" s="1">
        <f>(0.001*101300)/(287*A92)</f>
        <v>1.4118466898954704E-4</v>
      </c>
      <c r="G92" s="1">
        <f>(0.01*101300)/(287*$A92)</f>
        <v>1.4118466898954704E-3</v>
      </c>
      <c r="H92" s="1">
        <f>(0.1*101300)/(287*$A92)</f>
        <v>1.4118466898954704E-2</v>
      </c>
      <c r="I92" s="1">
        <f>(1*101300)/(287*$A92)</f>
        <v>0.14118466898954704</v>
      </c>
      <c r="J92" s="1">
        <f>B92-287*$A92</f>
        <v>642577.35800000001</v>
      </c>
      <c r="K92" s="1">
        <f>C92-287*$A92</f>
        <v>590995.60400000005</v>
      </c>
      <c r="L92" s="1">
        <f>D92-287*$A92</f>
        <v>578899.70990000013</v>
      </c>
      <c r="M92" s="1">
        <f>E92-287*$A92</f>
        <v>575493.77429999993</v>
      </c>
    </row>
    <row r="93" spans="1:13" x14ac:dyDescent="0.25">
      <c r="A93" s="1">
        <v>2525</v>
      </c>
      <c r="B93">
        <v>1413438.4341</v>
      </c>
      <c r="C93">
        <v>1345622.5765</v>
      </c>
      <c r="D93">
        <v>1330321.9242</v>
      </c>
      <c r="E93">
        <v>1326095.888</v>
      </c>
      <c r="F93" s="1">
        <f>(0.001*101300)/(287*A93)</f>
        <v>1.3978680097974955E-4</v>
      </c>
      <c r="G93" s="1">
        <f>(0.01*101300)/(287*$A93)</f>
        <v>1.3978680097974955E-3</v>
      </c>
      <c r="H93" s="1">
        <f>(0.1*101300)/(287*$A93)</f>
        <v>1.3978680097974955E-2</v>
      </c>
      <c r="I93" s="1">
        <f>(1*101300)/(287*$A93)</f>
        <v>0.13978680097974955</v>
      </c>
      <c r="J93" s="1">
        <f>B93-287*$A93</f>
        <v>688763.43409999995</v>
      </c>
      <c r="K93" s="1">
        <f>C93-287*$A93</f>
        <v>620947.57649999997</v>
      </c>
      <c r="L93" s="1">
        <f>D93-287*$A93</f>
        <v>605646.92420000001</v>
      </c>
      <c r="M93" s="1">
        <f>E93-287*$A93</f>
        <v>601420.88800000004</v>
      </c>
    </row>
    <row r="94" spans="1:13" x14ac:dyDescent="0.25">
      <c r="A94" s="1">
        <v>2550</v>
      </c>
      <c r="B94">
        <v>1473174.5153999999</v>
      </c>
      <c r="C94">
        <v>1383871.692</v>
      </c>
      <c r="D94">
        <v>1364522.4680999999</v>
      </c>
      <c r="E94">
        <v>1359291.4127</v>
      </c>
      <c r="F94" s="1">
        <f>(0.001*101300)/(287*A94)</f>
        <v>1.3841634214661474E-4</v>
      </c>
      <c r="G94" s="1">
        <f>(0.01*101300)/(287*$A94)</f>
        <v>1.3841634214661475E-3</v>
      </c>
      <c r="H94" s="1">
        <f>(0.1*101300)/(287*$A94)</f>
        <v>1.3841634214661475E-2</v>
      </c>
      <c r="I94" s="1">
        <f>(1*101300)/(287*$A94)</f>
        <v>0.13841634214661475</v>
      </c>
      <c r="J94" s="1">
        <f>B94-287*$A94</f>
        <v>741324.51539999992</v>
      </c>
      <c r="K94" s="1">
        <f>C94-287*$A94</f>
        <v>652021.69200000004</v>
      </c>
      <c r="L94" s="1">
        <f>D94-287*$A94</f>
        <v>632672.46809999994</v>
      </c>
      <c r="M94" s="1">
        <f>E94-287*$A94</f>
        <v>627441.41269999999</v>
      </c>
    </row>
    <row r="95" spans="1:13" x14ac:dyDescent="0.25">
      <c r="A95" s="1">
        <v>2575</v>
      </c>
      <c r="B95">
        <v>1541299.7241999998</v>
      </c>
      <c r="C95">
        <v>1423525.3997</v>
      </c>
      <c r="D95">
        <v>1399054.7634000001</v>
      </c>
      <c r="E95">
        <v>1392593.3725000001</v>
      </c>
      <c r="F95" s="1">
        <f>(0.001*101300)/(287*A95)</f>
        <v>1.3707249416460877E-4</v>
      </c>
      <c r="G95" s="1">
        <f>(0.01*101300)/(287*$A95)</f>
        <v>1.3707249416460877E-3</v>
      </c>
      <c r="H95" s="1">
        <f>(0.1*101300)/(287*$A95)</f>
        <v>1.3707249416460877E-2</v>
      </c>
      <c r="I95" s="1">
        <f>(1*101300)/(287*$A95)</f>
        <v>0.13707249416460879</v>
      </c>
      <c r="J95" s="1">
        <f>B95-287*$A95</f>
        <v>802274.72419999982</v>
      </c>
      <c r="K95" s="1">
        <f>C95-287*$A95</f>
        <v>684500.39969999995</v>
      </c>
      <c r="L95" s="1">
        <f>D95-287*$A95</f>
        <v>660029.76340000005</v>
      </c>
      <c r="M95" s="1">
        <f>E95-287*$A95</f>
        <v>653568.37250000006</v>
      </c>
    </row>
    <row r="96" spans="1:13" x14ac:dyDescent="0.25">
      <c r="A96" s="1">
        <v>2600</v>
      </c>
      <c r="B96">
        <v>1620467.1263000001</v>
      </c>
      <c r="C96">
        <v>1464942.3306000002</v>
      </c>
      <c r="D96">
        <v>1433983.6095</v>
      </c>
      <c r="E96">
        <v>1426017.1240000001</v>
      </c>
      <c r="F96" s="1">
        <f>(0.001*101300)/(287*A96)</f>
        <v>1.35754489413026E-4</v>
      </c>
      <c r="G96" s="1">
        <f>(0.01*101300)/(287*$A96)</f>
        <v>1.3575448941302601E-3</v>
      </c>
      <c r="H96" s="1">
        <f>(0.1*101300)/(287*$A96)</f>
        <v>1.35754489413026E-2</v>
      </c>
      <c r="I96" s="1">
        <f>(1*101300)/(287*$A96)</f>
        <v>0.13575448941302601</v>
      </c>
      <c r="J96" s="1">
        <f>B96-287*$A96</f>
        <v>874267.12630000012</v>
      </c>
      <c r="K96" s="1">
        <f>C96-287*$A96</f>
        <v>718742.33060000022</v>
      </c>
      <c r="L96" s="1">
        <f>D96-287*$A96</f>
        <v>687783.60950000002</v>
      </c>
      <c r="M96" s="1">
        <f>E96-287*$A96</f>
        <v>679817.12400000007</v>
      </c>
    </row>
    <row r="97" spans="1:13" x14ac:dyDescent="0.25">
      <c r="A97" s="1">
        <v>2625</v>
      </c>
      <c r="B97">
        <v>1714162.4742999999</v>
      </c>
      <c r="C97">
        <v>1508578.4065</v>
      </c>
      <c r="D97">
        <v>1469387.7371999999</v>
      </c>
      <c r="E97">
        <v>1459580.7496</v>
      </c>
      <c r="F97" s="1">
        <f>(0.001*101300)/(287*A97)</f>
        <v>1.3446158951385432E-4</v>
      </c>
      <c r="G97" s="1">
        <f>(0.01*101300)/(287*$A97)</f>
        <v>1.3446158951385433E-3</v>
      </c>
      <c r="H97" s="1">
        <f>(0.1*101300)/(287*$A97)</f>
        <v>1.3446158951385432E-2</v>
      </c>
      <c r="I97" s="1">
        <f>(1*101300)/(287*$A97)</f>
        <v>0.13446158951385431</v>
      </c>
      <c r="J97" s="1">
        <f>B97-287*$A97</f>
        <v>960787.47429999989</v>
      </c>
      <c r="K97" s="1">
        <f>C97-287*$A97</f>
        <v>755203.40650000004</v>
      </c>
      <c r="L97" s="1">
        <f>D97-287*$A97</f>
        <v>716012.73719999986</v>
      </c>
      <c r="M97" s="1">
        <f>E97-287*$A97</f>
        <v>706205.74959999998</v>
      </c>
    </row>
    <row r="98" spans="1:13" x14ac:dyDescent="0.25">
      <c r="A98" s="1">
        <v>2650</v>
      </c>
      <c r="B98">
        <v>1826951.1693</v>
      </c>
      <c r="C98">
        <v>1555013.6563000001</v>
      </c>
      <c r="D98">
        <v>1505362.9756</v>
      </c>
      <c r="E98">
        <v>1493305.5234999999</v>
      </c>
      <c r="F98" s="1">
        <f>(0.001*101300)/(287*A98)</f>
        <v>1.3319308395240287E-4</v>
      </c>
      <c r="G98" s="1">
        <f>(0.01*101300)/(287*$A98)</f>
        <v>1.3319308395240287E-3</v>
      </c>
      <c r="H98" s="1">
        <f>(0.1*101300)/(287*$A98)</f>
        <v>1.3319308395240287E-2</v>
      </c>
      <c r="I98" s="1">
        <f>(1*101300)/(287*$A98)</f>
        <v>0.13319308395240287</v>
      </c>
      <c r="J98" s="1">
        <f>B98-287*$A98</f>
        <v>1066401.1693</v>
      </c>
      <c r="K98" s="1">
        <f>C98-287*$A98</f>
        <v>794463.65630000015</v>
      </c>
      <c r="L98" s="1">
        <f>D98-287*$A98</f>
        <v>744812.97560000001</v>
      </c>
      <c r="M98" s="1">
        <f>E98-287*$A98</f>
        <v>732755.52349999989</v>
      </c>
    </row>
    <row r="99" spans="1:13" x14ac:dyDescent="0.25">
      <c r="A99" s="1">
        <v>2675</v>
      </c>
      <c r="B99">
        <v>1964790.5356999999</v>
      </c>
      <c r="C99">
        <v>1604986.1535</v>
      </c>
      <c r="D99">
        <v>1542026.1772999999</v>
      </c>
      <c r="E99">
        <v>1527216.4657999999</v>
      </c>
      <c r="F99" s="1">
        <f>(0.001*101300)/(287*A99)</f>
        <v>1.3194828877527759E-4</v>
      </c>
      <c r="G99" s="1">
        <f>(0.01*101300)/(287*$A99)</f>
        <v>1.3194828877527761E-3</v>
      </c>
      <c r="H99" s="1">
        <f>(0.1*101300)/(287*$A99)</f>
        <v>1.3194828877527761E-2</v>
      </c>
      <c r="I99" s="1">
        <f>(1*101300)/(287*$A99)</f>
        <v>0.13194828877527762</v>
      </c>
      <c r="J99" s="1">
        <f>B99-287*$A99</f>
        <v>1197065.5356999999</v>
      </c>
      <c r="K99" s="1">
        <f>C99-287*$A99</f>
        <v>837261.15350000001</v>
      </c>
      <c r="L99" s="1">
        <f>D99-287*$A99</f>
        <v>774301.17729999986</v>
      </c>
      <c r="M99" s="1">
        <f>E99-287*$A99</f>
        <v>759491.46579999989</v>
      </c>
    </row>
    <row r="100" spans="1:13" x14ac:dyDescent="0.25">
      <c r="A100" s="1">
        <v>2700</v>
      </c>
      <c r="B100">
        <v>2135421.0549999997</v>
      </c>
      <c r="C100">
        <v>1659434.7878</v>
      </c>
      <c r="D100">
        <v>1579520.0808999999</v>
      </c>
      <c r="E100">
        <v>1561343.0041</v>
      </c>
      <c r="F100" s="1">
        <f>(0.001*101300)/(287*A100)</f>
        <v>1.307265453606917E-4</v>
      </c>
      <c r="G100" s="1">
        <f>(0.01*101300)/(287*$A100)</f>
        <v>1.3072654536069169E-3</v>
      </c>
      <c r="H100" s="1">
        <f>(0.1*101300)/(287*$A100)</f>
        <v>1.3072654536069169E-2</v>
      </c>
      <c r="I100" s="1">
        <f>(1*101300)/(287*$A100)</f>
        <v>0.1307265453606917</v>
      </c>
      <c r="J100" s="1">
        <f>B100-287*$A100</f>
        <v>1360521.0549999997</v>
      </c>
      <c r="K100" s="1">
        <f>C100-287*$A100</f>
        <v>884534.78780000005</v>
      </c>
      <c r="L100" s="1">
        <f>D100-287*$A100</f>
        <v>804620.08089999994</v>
      </c>
      <c r="M100" s="1">
        <f>E100-287*$A100</f>
        <v>786443.00410000002</v>
      </c>
    </row>
    <row r="101" spans="1:13" x14ac:dyDescent="0.25">
      <c r="A101" s="1">
        <v>2725</v>
      </c>
      <c r="B101">
        <v>2348851.2278</v>
      </c>
      <c r="C101">
        <v>1719552.9272</v>
      </c>
      <c r="D101">
        <v>1618019.327</v>
      </c>
      <c r="E101">
        <v>1595719.7631999999</v>
      </c>
      <c r="F101" s="1">
        <f>(0.001*101300)/(287*A101)</f>
        <v>1.2952721925646517E-4</v>
      </c>
      <c r="G101" s="1">
        <f>(0.01*101300)/(287*$A101)</f>
        <v>1.2952721925646518E-3</v>
      </c>
      <c r="H101" s="1">
        <f>(0.1*101300)/(287*$A101)</f>
        <v>1.2952721925646518E-2</v>
      </c>
      <c r="I101" s="1">
        <f>(1*101300)/(287*$A101)</f>
        <v>0.12952721925646518</v>
      </c>
      <c r="J101" s="1">
        <f>B101-287*$A101</f>
        <v>1566776.2278</v>
      </c>
      <c r="K101" s="1">
        <f>C101-287*$A101</f>
        <v>937477.92720000003</v>
      </c>
      <c r="L101" s="1">
        <f>D101-287*$A101</f>
        <v>835944.32700000005</v>
      </c>
      <c r="M101" s="1">
        <f>E101-287*$A101</f>
        <v>813644.76319999993</v>
      </c>
    </row>
    <row r="102" spans="1:13" x14ac:dyDescent="0.25">
      <c r="A102" s="1">
        <v>2750</v>
      </c>
      <c r="B102">
        <v>2617950.5603</v>
      </c>
      <c r="C102">
        <v>1786855.4199000001</v>
      </c>
      <c r="D102">
        <v>1657737.8873000001</v>
      </c>
      <c r="E102">
        <v>1630387.5115999999</v>
      </c>
      <c r="F102" s="1">
        <f>(0.001*101300)/(287*A102)</f>
        <v>1.2834969908140638E-4</v>
      </c>
      <c r="G102" s="1">
        <f>(0.01*101300)/(287*$A102)</f>
        <v>1.2834969908140639E-3</v>
      </c>
      <c r="H102" s="1">
        <f>(0.1*101300)/(287*$A102)</f>
        <v>1.2834969908140641E-2</v>
      </c>
      <c r="I102" s="1">
        <f>(1*101300)/(287*$A102)</f>
        <v>0.12834969908140639</v>
      </c>
      <c r="J102" s="1">
        <f>B102-287*$A102</f>
        <v>1828700.5603</v>
      </c>
      <c r="K102" s="1">
        <f>C102-287*$A102</f>
        <v>997605.4199000001</v>
      </c>
      <c r="L102" s="1">
        <f>D102-287*$A102</f>
        <v>868487.88730000006</v>
      </c>
      <c r="M102" s="1">
        <f>E102-287*$A102</f>
        <v>841137.51159999985</v>
      </c>
    </row>
    <row r="103" spans="1:13" x14ac:dyDescent="0.25">
      <c r="A103" s="1">
        <v>2775</v>
      </c>
      <c r="B103">
        <v>2959162.7371999999</v>
      </c>
      <c r="C103">
        <v>1863261.8133999999</v>
      </c>
      <c r="D103">
        <v>1698938.2195000001</v>
      </c>
      <c r="E103">
        <v>1665394.2953000001</v>
      </c>
      <c r="F103" s="1">
        <f>(0.001*101300)/(287*A103)</f>
        <v>1.271933954860784E-4</v>
      </c>
      <c r="G103" s="1">
        <f>(0.01*101300)/(287*$A103)</f>
        <v>1.271933954860784E-3</v>
      </c>
      <c r="H103" s="1">
        <f>(0.1*101300)/(287*$A103)</f>
        <v>1.2719339548607841E-2</v>
      </c>
      <c r="I103" s="1">
        <f>(1*101300)/(287*$A103)</f>
        <v>0.12719339548607841</v>
      </c>
      <c r="J103" s="1">
        <f>B103-287*$A103</f>
        <v>2162737.7371999999</v>
      </c>
      <c r="K103" s="1">
        <f>C103-287*$A103</f>
        <v>1066836.8133999999</v>
      </c>
      <c r="L103" s="1">
        <f>D103-287*$A103</f>
        <v>902513.21950000012</v>
      </c>
      <c r="M103" s="1">
        <f>E103-287*$A103</f>
        <v>868969.29530000011</v>
      </c>
    </row>
    <row r="104" spans="1:13" x14ac:dyDescent="0.25">
      <c r="A104" s="1">
        <v>2800</v>
      </c>
      <c r="B104">
        <v>3393344.5824000002</v>
      </c>
      <c r="C104">
        <v>1951199.1348999999</v>
      </c>
      <c r="D104">
        <v>1741942.52</v>
      </c>
      <c r="E104">
        <v>1700796.7982000001</v>
      </c>
      <c r="F104" s="1">
        <f>(0.001*101300)/(287*A104)</f>
        <v>1.2605774016923843E-4</v>
      </c>
      <c r="G104" s="1">
        <f>(0.01*101300)/(287*$A104)</f>
        <v>1.2605774016923844E-3</v>
      </c>
      <c r="H104" s="1">
        <f>(0.1*101300)/(287*$A104)</f>
        <v>1.2605774016923843E-2</v>
      </c>
      <c r="I104" s="1">
        <f>(1*101300)/(287*$A104)</f>
        <v>0.12605774016923843</v>
      </c>
      <c r="J104" s="1">
        <f>B104-287*$A104</f>
        <v>2589744.5824000002</v>
      </c>
      <c r="K104" s="1">
        <f>C104-287*$A104</f>
        <v>1147599.1348999999</v>
      </c>
      <c r="L104" s="1">
        <f>D104-287*$A104</f>
        <v>938342.52</v>
      </c>
      <c r="M104" s="1">
        <f>E104-287*$A104</f>
        <v>897196.79820000008</v>
      </c>
    </row>
    <row r="105" spans="1:13" x14ac:dyDescent="0.25">
      <c r="A105" s="1">
        <v>2825</v>
      </c>
      <c r="B105">
        <v>3946723.1738999998</v>
      </c>
      <c r="C105">
        <v>2053728.0439000002</v>
      </c>
      <c r="D105">
        <v>1787146.5171000001</v>
      </c>
      <c r="E105">
        <v>1736661.9745999998</v>
      </c>
      <c r="F105" s="1">
        <f>(0.001*101300)/(287*A105)</f>
        <v>1.2494218494650181E-4</v>
      </c>
      <c r="G105" s="1">
        <f>(0.01*101300)/(287*$A105)</f>
        <v>1.249421849465018E-3</v>
      </c>
      <c r="H105" s="1">
        <f>(0.1*101300)/(287*$A105)</f>
        <v>1.249421849465018E-2</v>
      </c>
      <c r="I105" s="1">
        <f>(1*101300)/(287*$A105)</f>
        <v>0.12494218494650181</v>
      </c>
      <c r="J105" s="1">
        <f>B105-287*$A105</f>
        <v>3135948.1738999998</v>
      </c>
      <c r="K105" s="1">
        <f>C105-287*$A105</f>
        <v>1242953.0439000002</v>
      </c>
      <c r="L105" s="1">
        <f>D105-287*$A105</f>
        <v>976371.51710000006</v>
      </c>
      <c r="M105" s="1">
        <f>E105-287*$A105</f>
        <v>925886.97459999984</v>
      </c>
    </row>
    <row r="106" spans="1:13" x14ac:dyDescent="0.25">
      <c r="A106" s="1">
        <v>2850</v>
      </c>
      <c r="B106">
        <v>4651939.2868000008</v>
      </c>
      <c r="C106">
        <v>2174696.6022000001</v>
      </c>
      <c r="D106">
        <v>1835036.324</v>
      </c>
      <c r="E106">
        <v>1773069.0074</v>
      </c>
      <c r="F106" s="1">
        <f>(0.001*101300)/(287*A106)</f>
        <v>1.238462008680237E-4</v>
      </c>
      <c r="G106" s="1">
        <f>(0.01*101300)/(287*$A106)</f>
        <v>1.2384620086802372E-3</v>
      </c>
      <c r="H106" s="1">
        <f>(0.1*101300)/(287*$A106)</f>
        <v>1.2384620086802372E-2</v>
      </c>
      <c r="I106" s="1">
        <f>(1*101300)/(287*$A106)</f>
        <v>0.12384620086802371</v>
      </c>
      <c r="J106" s="1">
        <f>B106-287*$A106</f>
        <v>3833989.2868000008</v>
      </c>
      <c r="K106" s="1">
        <f>C106-287*$A106</f>
        <v>1356746.6022000001</v>
      </c>
      <c r="L106" s="1">
        <f>D106-287*$A106</f>
        <v>1017086.324</v>
      </c>
      <c r="M106" s="1">
        <f>E106-287*$A106</f>
        <v>955119.0074</v>
      </c>
    </row>
    <row r="107" spans="1:13" x14ac:dyDescent="0.25">
      <c r="A107" s="1">
        <v>2875</v>
      </c>
      <c r="B107">
        <v>5549103.9944000002</v>
      </c>
      <c r="C107">
        <v>2318926.2389000002</v>
      </c>
      <c r="D107">
        <v>1886208.9631999999</v>
      </c>
      <c r="E107">
        <v>1810111.656</v>
      </c>
      <c r="F107" s="1">
        <f>(0.001*101300)/(287*A107)</f>
        <v>1.227692773822148E-4</v>
      </c>
      <c r="G107" s="1">
        <f>(0.01*101300)/(287*$A107)</f>
        <v>1.2276927738221481E-3</v>
      </c>
      <c r="H107" s="1">
        <f>(0.1*101300)/(287*$A107)</f>
        <v>1.2276927738221482E-2</v>
      </c>
      <c r="I107" s="1">
        <f>(1*101300)/(287*$A107)</f>
        <v>0.12276927738221481</v>
      </c>
      <c r="J107" s="1">
        <f>B107-287*$A107</f>
        <v>4723978.9944000002</v>
      </c>
      <c r="K107" s="1">
        <f>C107-287*$A107</f>
        <v>1493801.2389000002</v>
      </c>
      <c r="L107" s="1">
        <f>D107-287*$A107</f>
        <v>1061083.9631999999</v>
      </c>
      <c r="M107" s="1">
        <f>E107-287*$A107</f>
        <v>984986.65599999996</v>
      </c>
    </row>
    <row r="108" spans="1:13" x14ac:dyDescent="0.25">
      <c r="A108" s="1">
        <v>2900</v>
      </c>
      <c r="B108">
        <v>6686727.8659000006</v>
      </c>
      <c r="C108">
        <v>2492434.5959999999</v>
      </c>
      <c r="D108">
        <v>1941397.2699000002</v>
      </c>
      <c r="E108">
        <v>1847901.0693000001</v>
      </c>
      <c r="F108" s="1">
        <f>(0.001*101300)/(287*A108)</f>
        <v>1.2171092154271296E-4</v>
      </c>
      <c r="G108" s="1">
        <f>(0.01*101300)/(287*$A108)</f>
        <v>1.2171092154271295E-3</v>
      </c>
      <c r="H108" s="1">
        <f>(0.1*101300)/(287*$A108)</f>
        <v>1.2171092154271297E-2</v>
      </c>
      <c r="I108" s="1">
        <f>(1*101300)/(287*$A108)</f>
        <v>0.12171092154271296</v>
      </c>
      <c r="J108" s="1">
        <f>B108-287*$A108</f>
        <v>5854427.8659000006</v>
      </c>
      <c r="K108" s="1">
        <f>C108-287*$A108</f>
        <v>1660134.5959999999</v>
      </c>
      <c r="L108" s="1">
        <f>D108-287*$A108</f>
        <v>1109097.2699000002</v>
      </c>
      <c r="M108" s="1">
        <f>E108-287*$A108</f>
        <v>1015601.0693000001</v>
      </c>
    </row>
    <row r="109" spans="1:13" x14ac:dyDescent="0.25">
      <c r="A109" s="1">
        <v>2925</v>
      </c>
      <c r="B109">
        <v>8122276.0777000003</v>
      </c>
      <c r="C109">
        <v>2702699.6592000001</v>
      </c>
      <c r="D109">
        <v>2001499.9952</v>
      </c>
      <c r="E109">
        <v>1886569.1501</v>
      </c>
      <c r="F109" s="1">
        <f>(0.001*101300)/(287*A109)</f>
        <v>1.2067065725602311E-4</v>
      </c>
      <c r="G109" s="1">
        <f>(0.01*101300)/(287*$A109)</f>
        <v>1.2067065725602311E-3</v>
      </c>
      <c r="H109" s="1">
        <f>(0.1*101300)/(287*$A109)</f>
        <v>1.2067065725602311E-2</v>
      </c>
      <c r="I109" s="1">
        <f>(1*101300)/(287*$A109)</f>
        <v>0.12067065725602311</v>
      </c>
      <c r="J109" s="1">
        <f>B109-287*$A109</f>
        <v>7282801.0777000003</v>
      </c>
      <c r="K109" s="1">
        <f>C109-287*$A109</f>
        <v>1863224.6592000001</v>
      </c>
      <c r="L109" s="1">
        <f>D109-287*$A109</f>
        <v>1162024.9952</v>
      </c>
      <c r="M109" s="1">
        <f>E109-287*$A109</f>
        <v>1047094.1501</v>
      </c>
    </row>
    <row r="110" spans="1:13" x14ac:dyDescent="0.25">
      <c r="A110" s="1">
        <v>2950</v>
      </c>
      <c r="B110">
        <v>9921938.6459999997</v>
      </c>
      <c r="C110">
        <v>2958968.6189000001</v>
      </c>
      <c r="D110">
        <v>2067618.0424999997</v>
      </c>
      <c r="E110">
        <v>1926272.5743</v>
      </c>
      <c r="F110" s="1">
        <f>(0.001*101300)/(287*A110)</f>
        <v>1.1964802456741274E-4</v>
      </c>
      <c r="G110" s="1">
        <f>(0.01*101300)/(287*$A110)</f>
        <v>1.1964802456741275E-3</v>
      </c>
      <c r="H110" s="1">
        <f>(0.1*101300)/(287*$A110)</f>
        <v>1.1964802456741275E-2</v>
      </c>
      <c r="I110" s="1">
        <f>(1*101300)/(287*$A110)</f>
        <v>0.11964802456741275</v>
      </c>
      <c r="J110" s="1">
        <f>B110-287*$A110</f>
        <v>9075288.6459999997</v>
      </c>
      <c r="K110" s="1">
        <f>C110-287*$A110</f>
        <v>2112318.6189000001</v>
      </c>
      <c r="L110" s="1">
        <f>D110-287*$A110</f>
        <v>1220968.0424999997</v>
      </c>
      <c r="M110" s="1">
        <f>E110-287*$A110</f>
        <v>1079622.5743</v>
      </c>
    </row>
    <row r="111" spans="1:13" x14ac:dyDescent="0.25">
      <c r="A111" s="1">
        <v>2975</v>
      </c>
      <c r="B111">
        <v>12158946.429</v>
      </c>
      <c r="C111">
        <v>3272612.8796999999</v>
      </c>
      <c r="D111">
        <v>2141097.8964999998</v>
      </c>
      <c r="E111">
        <v>1967197.5824000002</v>
      </c>
      <c r="F111" s="1">
        <f>(0.001*101300)/(287*A111)</f>
        <v>1.1864257898281263E-4</v>
      </c>
      <c r="G111" s="1">
        <f>(0.01*101300)/(287*$A111)</f>
        <v>1.1864257898281264E-3</v>
      </c>
      <c r="H111" s="1">
        <f>(0.1*101300)/(287*$A111)</f>
        <v>1.1864257898281263E-2</v>
      </c>
      <c r="I111" s="1">
        <f>(1*101300)/(287*$A111)</f>
        <v>0.11864257898281264</v>
      </c>
      <c r="J111" s="1">
        <f>B111-287*$A111</f>
        <v>11305121.429</v>
      </c>
      <c r="K111" s="1">
        <f>C111-287*$A111</f>
        <v>2418787.8796999999</v>
      </c>
      <c r="L111" s="1">
        <f>D111-287*$A111</f>
        <v>1287272.8964999998</v>
      </c>
      <c r="M111" s="1">
        <f>E111-287*$A111</f>
        <v>1113372.5824000002</v>
      </c>
    </row>
    <row r="112" spans="1:13" x14ac:dyDescent="0.25">
      <c r="A112" s="1">
        <v>3000</v>
      </c>
      <c r="B112">
        <v>14909309.124</v>
      </c>
      <c r="C112">
        <v>3657526.9321999997</v>
      </c>
      <c r="D112">
        <v>2223583.4221000001</v>
      </c>
      <c r="E112">
        <v>2009565.6813000001</v>
      </c>
      <c r="F112" s="1">
        <f>(0.001*101300)/(287*A112)</f>
        <v>1.1765389082462253E-4</v>
      </c>
      <c r="G112" s="1">
        <f>(0.01*101300)/(287*$A112)</f>
        <v>1.1765389082462254E-3</v>
      </c>
      <c r="H112" s="1">
        <f>(0.1*101300)/(287*$A112)</f>
        <v>1.1765389082462253E-2</v>
      </c>
      <c r="I112" s="1">
        <f>(1*101300)/(287*$A112)</f>
        <v>0.11765389082462253</v>
      </c>
      <c r="J112" s="1">
        <f>B112-287*$A112</f>
        <v>14048309.124</v>
      </c>
      <c r="K112" s="1">
        <f>C112-287*$A112</f>
        <v>2796526.9321999997</v>
      </c>
      <c r="L112" s="1">
        <f>D112-287*$A112</f>
        <v>1362583.4221000001</v>
      </c>
      <c r="M112" s="1">
        <f>E112-287*$A112</f>
        <v>1148565.6813000001</v>
      </c>
    </row>
    <row r="113" spans="1:13" x14ac:dyDescent="0.25">
      <c r="A113" s="1">
        <v>3025</v>
      </c>
      <c r="B113">
        <v>18242794.184999999</v>
      </c>
      <c r="C113">
        <v>4130562.5811999999</v>
      </c>
      <c r="D113">
        <v>2317077.3239000002</v>
      </c>
      <c r="E113">
        <v>2053640.4114000001</v>
      </c>
      <c r="F113" s="1">
        <f>(0.001*101300)/(287*A113)</f>
        <v>1.1668154461946036E-4</v>
      </c>
      <c r="G113" s="1">
        <f>(0.01*101300)/(287*$A113)</f>
        <v>1.1668154461946037E-3</v>
      </c>
      <c r="H113" s="1">
        <f>(0.1*101300)/(287*$A113)</f>
        <v>1.1668154461946037E-2</v>
      </c>
      <c r="I113" s="1">
        <f>(1*101300)/(287*$A113)</f>
        <v>0.11668154461946036</v>
      </c>
      <c r="J113" s="1">
        <f>B113-287*$A113</f>
        <v>17374619.184999999</v>
      </c>
      <c r="K113" s="1">
        <f>C113-287*$A113</f>
        <v>3262387.5811999999</v>
      </c>
      <c r="L113" s="1">
        <f>D113-287*$A113</f>
        <v>1448902.3239000002</v>
      </c>
      <c r="M113" s="1">
        <f>E113-287*$A113</f>
        <v>1185465.4114000001</v>
      </c>
    </row>
    <row r="114" spans="1:13" x14ac:dyDescent="0.25">
      <c r="A114" s="1">
        <v>3050</v>
      </c>
      <c r="B114">
        <v>22203044.314999998</v>
      </c>
      <c r="C114">
        <v>4711980.1239999998</v>
      </c>
      <c r="D114">
        <v>2424013.6432999996</v>
      </c>
      <c r="E114">
        <v>2099735.3618000001</v>
      </c>
      <c r="F114" s="1">
        <f>(0.001*101300)/(287*A114)</f>
        <v>1.1572513851602216E-4</v>
      </c>
      <c r="G114" s="1">
        <f>(0.01*101300)/(287*$A114)</f>
        <v>1.1572513851602216E-3</v>
      </c>
      <c r="H114" s="1">
        <f>(0.1*101300)/(287*$A114)</f>
        <v>1.1572513851602217E-2</v>
      </c>
      <c r="I114" s="1">
        <f>(1*101300)/(287*$A114)</f>
        <v>0.11572513851602216</v>
      </c>
      <c r="J114" s="1">
        <f>B114-287*$A114</f>
        <v>21327694.314999998</v>
      </c>
      <c r="K114" s="1">
        <f>C114-287*$A114</f>
        <v>3836630.1239999998</v>
      </c>
      <c r="L114" s="1">
        <f>D114-287*$A114</f>
        <v>1548663.6432999996</v>
      </c>
      <c r="M114" s="1">
        <f>E114-287*$A114</f>
        <v>1224385.3618000001</v>
      </c>
    </row>
    <row r="115" spans="1:13" x14ac:dyDescent="0.25">
      <c r="A115" s="1">
        <v>3075</v>
      </c>
      <c r="B115">
        <v>26742214.404999997</v>
      </c>
      <c r="C115">
        <v>5425882.9210000001</v>
      </c>
      <c r="D115">
        <v>2547342.7138999999</v>
      </c>
      <c r="E115">
        <v>2148223.6365</v>
      </c>
      <c r="F115" s="1">
        <f>(0.001*101300)/(287*A115)</f>
        <v>1.1478428373133905E-4</v>
      </c>
      <c r="G115" s="1">
        <f>(0.01*101300)/(287*$A115)</f>
        <v>1.1478428373133905E-3</v>
      </c>
      <c r="H115" s="1">
        <f>(0.1*101300)/(287*$A115)</f>
        <v>1.1478428373133906E-2</v>
      </c>
      <c r="I115" s="1">
        <f>(1*101300)/(287*$A115)</f>
        <v>0.11478428373133906</v>
      </c>
      <c r="J115" s="1">
        <f>B115-287*$A115</f>
        <v>25859689.404999997</v>
      </c>
      <c r="K115" s="1">
        <f>C115-287*$A115</f>
        <v>4543357.9210000001</v>
      </c>
      <c r="L115" s="1">
        <f>D115-287*$A115</f>
        <v>1664817.7138999999</v>
      </c>
      <c r="M115" s="1">
        <f>E115-287*$A115</f>
        <v>1265698.6365</v>
      </c>
    </row>
    <row r="116" spans="1:13" x14ac:dyDescent="0.25">
      <c r="A116" s="1">
        <v>3100</v>
      </c>
      <c r="B116">
        <v>26742214.404999997</v>
      </c>
      <c r="C116">
        <v>6300579.3952000001</v>
      </c>
      <c r="D116">
        <v>2690629.9600000004</v>
      </c>
      <c r="E116">
        <v>2199549.0031999997</v>
      </c>
      <c r="F116" s="1">
        <f>(0.001*101300)/(287*A116)</f>
        <v>1.1385860402382825E-4</v>
      </c>
      <c r="G116" s="1">
        <f>(0.01*101300)/(287*$A116)</f>
        <v>1.1385860402382826E-3</v>
      </c>
      <c r="H116" s="1">
        <f>(0.1*101300)/(287*$A116)</f>
        <v>1.1385860402382826E-2</v>
      </c>
      <c r="I116" s="1">
        <f>(1*101300)/(287*$A116)</f>
        <v>0.11385860402382826</v>
      </c>
      <c r="J116" s="1">
        <f>B116-287*$A116</f>
        <v>25852514.404999997</v>
      </c>
      <c r="K116" s="1">
        <f>C116-287*$A116</f>
        <v>5410879.3952000001</v>
      </c>
      <c r="L116" s="1">
        <f>D116-287*$A116</f>
        <v>1800929.9600000004</v>
      </c>
      <c r="M116" s="1">
        <f>E116-287*$A116</f>
        <v>1309849.0031999997</v>
      </c>
    </row>
    <row r="117" spans="1:13" x14ac:dyDescent="0.25">
      <c r="A117" s="1">
        <v>3125</v>
      </c>
      <c r="B117">
        <v>26742214.404999997</v>
      </c>
      <c r="C117">
        <v>7368784.3302999996</v>
      </c>
      <c r="D117">
        <v>2858169.7712999997</v>
      </c>
      <c r="E117">
        <v>2254238.9861000003</v>
      </c>
      <c r="F117" s="1">
        <f>(0.001*101300)/(287*A117)</f>
        <v>1.1294773519163763E-4</v>
      </c>
      <c r="G117" s="1">
        <f>(0.01*101300)/(287*$A117)</f>
        <v>1.1294773519163763E-3</v>
      </c>
      <c r="H117" s="1">
        <f>(0.1*101300)/(287*$A117)</f>
        <v>1.1294773519163763E-2</v>
      </c>
      <c r="I117" s="1">
        <f>(1*101300)/(287*$A117)</f>
        <v>0.11294773519163763</v>
      </c>
      <c r="J117" s="1">
        <f>B117-287*$A117</f>
        <v>25845339.404999997</v>
      </c>
      <c r="K117" s="1">
        <f>C117-287*$A117</f>
        <v>6471909.3302999996</v>
      </c>
      <c r="L117" s="1">
        <f>D117-287*$A117</f>
        <v>1961294.7712999997</v>
      </c>
      <c r="M117" s="1">
        <f>E117-287*$A117</f>
        <v>1357363.9861000003</v>
      </c>
    </row>
    <row r="118" spans="1:13" x14ac:dyDescent="0.25">
      <c r="A118" s="1">
        <v>3150</v>
      </c>
      <c r="B118">
        <v>26742214.404999997</v>
      </c>
      <c r="C118">
        <v>8667526.2399000004</v>
      </c>
      <c r="D118">
        <v>3055115.3424</v>
      </c>
      <c r="E118">
        <v>2312920.1922000004</v>
      </c>
      <c r="F118" s="1">
        <f>(0.001*101300)/(287*A118)</f>
        <v>1.1205132459487859E-4</v>
      </c>
      <c r="G118" s="1">
        <f>(0.01*101300)/(287*$A118)</f>
        <v>1.1205132459487859E-3</v>
      </c>
      <c r="H118" s="1">
        <f>(0.1*101300)/(287*$A118)</f>
        <v>1.1205132459487861E-2</v>
      </c>
      <c r="I118" s="1">
        <f>(1*101300)/(287*$A118)</f>
        <v>0.1120513245948786</v>
      </c>
      <c r="J118" s="1">
        <f>B118-287*$A118</f>
        <v>25838164.404999997</v>
      </c>
      <c r="K118" s="1">
        <f>C118-287*$A118</f>
        <v>7763476.2399000004</v>
      </c>
      <c r="L118" s="1">
        <f>D118-287*$A118</f>
        <v>2151065.3424</v>
      </c>
      <c r="M118" s="1">
        <f>E118-287*$A118</f>
        <v>1408870.1922000004</v>
      </c>
    </row>
    <row r="119" spans="1:13" x14ac:dyDescent="0.25">
      <c r="A119" s="1">
        <v>3175</v>
      </c>
      <c r="B119">
        <v>26742214.404999997</v>
      </c>
      <c r="C119">
        <v>10237565.044000002</v>
      </c>
      <c r="D119">
        <v>3287624.7486</v>
      </c>
      <c r="E119">
        <v>2376336.1924000001</v>
      </c>
      <c r="F119" s="1">
        <f>(0.001*101300)/(287*A119)</f>
        <v>1.1116903070043074E-4</v>
      </c>
      <c r="G119" s="1">
        <f>(0.01*101300)/(287*$A119)</f>
        <v>1.1116903070043074E-3</v>
      </c>
      <c r="H119" s="1">
        <f>(0.1*101300)/(287*$A119)</f>
        <v>1.1116903070043075E-2</v>
      </c>
      <c r="I119" s="1">
        <f>(1*101300)/(287*$A119)</f>
        <v>0.11116903070043074</v>
      </c>
      <c r="J119" s="1">
        <f>B119-287*$A119</f>
        <v>25830989.404999997</v>
      </c>
      <c r="K119" s="1">
        <f>C119-287*$A119</f>
        <v>9326340.0440000016</v>
      </c>
      <c r="L119" s="1">
        <f>D119-287*$A119</f>
        <v>2376399.7486</v>
      </c>
      <c r="M119" s="1">
        <f>E119-287*$A119</f>
        <v>1465111.1924000001</v>
      </c>
    </row>
    <row r="120" spans="1:13" x14ac:dyDescent="0.25">
      <c r="A120" s="1">
        <v>3200</v>
      </c>
      <c r="B120">
        <v>26742214.404999997</v>
      </c>
      <c r="C120">
        <v>12122035.17</v>
      </c>
      <c r="D120">
        <v>3563022.5142999999</v>
      </c>
      <c r="E120">
        <v>2445368.3064000001</v>
      </c>
      <c r="F120" s="1">
        <f>(0.001*101300)/(287*A120)</f>
        <v>1.1030052264808362E-4</v>
      </c>
      <c r="G120" s="1">
        <f>(0.01*101300)/(287*$A120)</f>
        <v>1.1030052264808363E-3</v>
      </c>
      <c r="H120" s="1">
        <f>(0.1*101300)/(287*$A120)</f>
        <v>1.1030052264808363E-2</v>
      </c>
      <c r="I120" s="1">
        <f>(1*101300)/(287*$A120)</f>
        <v>0.11030052264808363</v>
      </c>
      <c r="J120" s="1">
        <f>B120-287*$A120</f>
        <v>25823814.404999997</v>
      </c>
      <c r="K120" s="1">
        <f>C120-287*$A120</f>
        <v>11203635.17</v>
      </c>
      <c r="L120" s="1">
        <f>D120-287*$A120</f>
        <v>2644622.5142999999</v>
      </c>
      <c r="M120" s="1">
        <f>E120-287*$A120</f>
        <v>1526968.3064000001</v>
      </c>
    </row>
    <row r="121" spans="1:13" x14ac:dyDescent="0.25">
      <c r="A121" s="1">
        <v>3225</v>
      </c>
      <c r="B121">
        <v>26742214.404999997</v>
      </c>
      <c r="C121">
        <v>14363886.845999999</v>
      </c>
      <c r="D121">
        <v>3889974.3398000002</v>
      </c>
      <c r="E121">
        <v>2521059.6709000003</v>
      </c>
      <c r="F121" s="1">
        <f>(0.001*101300)/(287*A121)</f>
        <v>1.0944547983685816E-4</v>
      </c>
      <c r="G121" s="1">
        <f>(0.01*101300)/(287*$A121)</f>
        <v>1.0944547983685817E-3</v>
      </c>
      <c r="H121" s="1">
        <f>(0.1*101300)/(287*$A121)</f>
        <v>1.0944547983685817E-2</v>
      </c>
      <c r="I121" s="1">
        <f>(1*101300)/(287*$A121)</f>
        <v>0.10944547983685816</v>
      </c>
      <c r="J121" s="1">
        <f>B121-287*$A121</f>
        <v>25816639.404999997</v>
      </c>
      <c r="K121" s="1">
        <f>C121-287*$A121</f>
        <v>13438311.845999999</v>
      </c>
      <c r="L121" s="1">
        <f>D121-287*$A121</f>
        <v>2964399.3398000002</v>
      </c>
      <c r="M121" s="1">
        <f>E121-287*$A121</f>
        <v>1595484.6709000003</v>
      </c>
    </row>
    <row r="122" spans="1:13" x14ac:dyDescent="0.25">
      <c r="A122" s="1">
        <v>3250</v>
      </c>
      <c r="B122">
        <v>26742214.404999997</v>
      </c>
      <c r="C122">
        <v>17001405.506999999</v>
      </c>
      <c r="D122">
        <v>4278670.2895</v>
      </c>
      <c r="E122">
        <v>2604642.9877999998</v>
      </c>
      <c r="F122" s="1">
        <f>(0.001*101300)/(287*A122)</f>
        <v>1.086035915304208E-4</v>
      </c>
      <c r="G122" s="1">
        <f>(0.01*101300)/(287*$A122)</f>
        <v>1.086035915304208E-3</v>
      </c>
      <c r="H122" s="1">
        <f>(0.1*101300)/(287*$A122)</f>
        <v>1.0860359153042081E-2</v>
      </c>
      <c r="I122" s="1">
        <f>(1*101300)/(287*$A122)</f>
        <v>0.1086035915304208</v>
      </c>
      <c r="J122" s="1">
        <f>B122-287*$A122</f>
        <v>25809464.404999997</v>
      </c>
      <c r="K122" s="1">
        <f>C122-287*$A122</f>
        <v>16068655.506999999</v>
      </c>
      <c r="L122" s="1">
        <f>D122-287*$A122</f>
        <v>3345920.2895</v>
      </c>
      <c r="M122" s="1">
        <f>E122-287*$A122</f>
        <v>1671892.9877999998</v>
      </c>
    </row>
    <row r="123" spans="1:13" x14ac:dyDescent="0.25">
      <c r="A123" s="1">
        <v>3275</v>
      </c>
      <c r="B123">
        <v>26742214.404999997</v>
      </c>
      <c r="C123">
        <v>20060227.645</v>
      </c>
      <c r="D123">
        <v>4741008.3103</v>
      </c>
      <c r="E123">
        <v>2697572.3658000003</v>
      </c>
      <c r="F123" s="1">
        <f>(0.001*101300)/(287*A123)</f>
        <v>1.0777455648057026E-4</v>
      </c>
      <c r="G123" s="1">
        <f>(0.01*101300)/(287*$A123)</f>
        <v>1.0777455648057026E-3</v>
      </c>
      <c r="H123" s="1">
        <f>(0.1*101300)/(287*$A123)</f>
        <v>1.0777455648057026E-2</v>
      </c>
      <c r="I123" s="1">
        <f>(1*101300)/(287*$A123)</f>
        <v>0.10777455648057026</v>
      </c>
      <c r="J123" s="1">
        <f>B123-287*$A123</f>
        <v>25802289.404999997</v>
      </c>
      <c r="K123" s="1">
        <f>C123-287*$A123</f>
        <v>19120302.645</v>
      </c>
      <c r="L123" s="1">
        <f>D123-287*$A123</f>
        <v>3801083.3103</v>
      </c>
      <c r="M123" s="1">
        <f>E123-287*$A123</f>
        <v>1757647.3658000003</v>
      </c>
    </row>
    <row r="124" spans="1:13" x14ac:dyDescent="0.25">
      <c r="A124" s="1">
        <v>3300</v>
      </c>
      <c r="B124">
        <v>26742214.404999997</v>
      </c>
      <c r="C124">
        <v>23536530.748</v>
      </c>
      <c r="D124">
        <v>5290765.1182000004</v>
      </c>
      <c r="E124">
        <v>2801559.6627000002</v>
      </c>
      <c r="F124" s="1">
        <f>(0.001*101300)/(287*A124)</f>
        <v>1.0695808256783866E-4</v>
      </c>
      <c r="G124" s="1">
        <f>(0.01*101300)/(287*$A124)</f>
        <v>1.0695808256783867E-3</v>
      </c>
      <c r="H124" s="1">
        <f>(0.1*101300)/(287*$A124)</f>
        <v>1.0695808256783866E-2</v>
      </c>
      <c r="I124" s="1">
        <f>(1*101300)/(287*$A124)</f>
        <v>0.10695808256783866</v>
      </c>
      <c r="J124" s="1">
        <f>B124-287*$A124</f>
        <v>25795114.404999997</v>
      </c>
      <c r="K124" s="1">
        <f>C124-287*$A124</f>
        <v>22589430.748</v>
      </c>
      <c r="L124" s="1">
        <f>D124-287*$A124</f>
        <v>4343665.1182000004</v>
      </c>
      <c r="M124" s="1">
        <f>E124-287*$A124</f>
        <v>1854459.6627000002</v>
      </c>
    </row>
    <row r="125" spans="1:13" x14ac:dyDescent="0.25">
      <c r="A125" s="1">
        <v>3325</v>
      </c>
      <c r="B125">
        <v>26742214.404999997</v>
      </c>
      <c r="C125">
        <v>27337049.583000001</v>
      </c>
      <c r="D125">
        <v>5943734.8781000003</v>
      </c>
      <c r="E125">
        <v>2918615.7130999998</v>
      </c>
      <c r="F125" s="1">
        <f>(0.001*101300)/(287*A125)</f>
        <v>1.0615388645830604E-4</v>
      </c>
      <c r="G125" s="1">
        <f>(0.01*101300)/(287*$A125)</f>
        <v>1.0615388645830604E-3</v>
      </c>
      <c r="H125" s="1">
        <f>(0.1*101300)/(287*$A125)</f>
        <v>1.0615388645830604E-2</v>
      </c>
      <c r="I125" s="1">
        <f>(1*101300)/(287*$A125)</f>
        <v>0.10615388645830605</v>
      </c>
      <c r="J125" s="1">
        <f>B125-287*$A125</f>
        <v>25787939.404999997</v>
      </c>
      <c r="K125" s="1">
        <f>C125-287*$A125</f>
        <v>26382774.583000001</v>
      </c>
      <c r="L125" s="1">
        <f>D125-287*$A125</f>
        <v>4989459.8781000003</v>
      </c>
      <c r="M125" s="1">
        <f>E125-287*$A125</f>
        <v>1964340.7130999998</v>
      </c>
    </row>
    <row r="126" spans="1:13" x14ac:dyDescent="0.25">
      <c r="A126" s="1">
        <v>3350</v>
      </c>
      <c r="B126">
        <v>26742214.404999997</v>
      </c>
      <c r="C126">
        <v>27337049.583000001</v>
      </c>
      <c r="D126">
        <v>6717807.2576000001</v>
      </c>
      <c r="E126">
        <v>3051096.7694000001</v>
      </c>
      <c r="F126" s="1">
        <f>(0.001*101300)/(287*A126)</f>
        <v>1.0536169327578137E-4</v>
      </c>
      <c r="G126" s="1">
        <f>(0.01*101300)/(287*$A126)</f>
        <v>1.0536169327578138E-3</v>
      </c>
      <c r="H126" s="1">
        <f>(0.1*101300)/(287*$A126)</f>
        <v>1.0536169327578138E-2</v>
      </c>
      <c r="I126" s="1">
        <f>(1*101300)/(287*$A126)</f>
        <v>0.10536169327578138</v>
      </c>
      <c r="J126" s="1">
        <f>B126-287*$A126</f>
        <v>25780764.404999997</v>
      </c>
      <c r="K126" s="1">
        <f>C126-287*$A126</f>
        <v>26375599.583000001</v>
      </c>
      <c r="L126" s="1">
        <f>D126-287*$A126</f>
        <v>5756357.2576000001</v>
      </c>
      <c r="M126" s="1">
        <f>E126-287*$A126</f>
        <v>2089646.7694000001</v>
      </c>
    </row>
    <row r="127" spans="1:13" x14ac:dyDescent="0.25">
      <c r="A127" s="1">
        <v>3375</v>
      </c>
      <c r="B127">
        <v>26742214.404999997</v>
      </c>
      <c r="C127">
        <v>27337049.583000001</v>
      </c>
      <c r="D127">
        <v>7632944.9670000002</v>
      </c>
      <c r="E127">
        <v>3201756.3792000003</v>
      </c>
      <c r="F127" s="1">
        <f>(0.001*101300)/(287*A127)</f>
        <v>1.0458123628855336E-4</v>
      </c>
      <c r="G127" s="1">
        <f>(0.01*101300)/(287*$A127)</f>
        <v>1.0458123628855336E-3</v>
      </c>
      <c r="H127" s="1">
        <f>(0.1*101300)/(287*$A127)</f>
        <v>1.0458123628855336E-2</v>
      </c>
      <c r="I127" s="1">
        <f>(1*101300)/(287*$A127)</f>
        <v>0.10458123628855336</v>
      </c>
      <c r="J127" s="1">
        <f>B127-287*$A127</f>
        <v>25773589.404999997</v>
      </c>
      <c r="K127" s="1">
        <f>C127-287*$A127</f>
        <v>26368424.583000001</v>
      </c>
      <c r="L127" s="1">
        <f>D127-287*$A127</f>
        <v>6664319.9670000002</v>
      </c>
      <c r="M127" s="1">
        <f>E127-287*$A127</f>
        <v>2233131.3792000003</v>
      </c>
    </row>
    <row r="128" spans="1:13" x14ac:dyDescent="0.25">
      <c r="A128" s="1">
        <v>3400</v>
      </c>
      <c r="B128">
        <v>26742214.404999997</v>
      </c>
      <c r="C128">
        <v>27337049.583000001</v>
      </c>
      <c r="D128">
        <v>8711006.3621000014</v>
      </c>
      <c r="E128">
        <v>3373802.7553000003</v>
      </c>
      <c r="F128" s="1">
        <f>(0.001*101300)/(287*A128)</f>
        <v>1.0381225660996105E-4</v>
      </c>
      <c r="G128" s="1">
        <f>(0.01*101300)/(287*$A128)</f>
        <v>1.0381225660996106E-3</v>
      </c>
      <c r="H128" s="1">
        <f>(0.1*101300)/(287*$A128)</f>
        <v>1.0381225660996106E-2</v>
      </c>
      <c r="I128" s="1">
        <f>(1*101300)/(287*$A128)</f>
        <v>0.10381225660996106</v>
      </c>
      <c r="J128" s="1">
        <f>B128-287*$A128</f>
        <v>25766414.404999997</v>
      </c>
      <c r="K128" s="1">
        <f>C128-287*$A128</f>
        <v>26361249.583000001</v>
      </c>
      <c r="L128" s="1">
        <f>D128-287*$A128</f>
        <v>7735206.3621000014</v>
      </c>
      <c r="M128" s="1">
        <f>E128-287*$A128</f>
        <v>2398002.7553000003</v>
      </c>
    </row>
    <row r="129" spans="1:13" x14ac:dyDescent="0.25">
      <c r="A129" s="1">
        <v>3425</v>
      </c>
      <c r="B129">
        <v>26742214.404999997</v>
      </c>
      <c r="C129">
        <v>27337049.583000001</v>
      </c>
      <c r="D129">
        <v>9975340.6307999995</v>
      </c>
      <c r="E129">
        <v>3570961.4389</v>
      </c>
      <c r="F129" s="1">
        <f>(0.001*101300)/(287*A129)</f>
        <v>1.0305450291207813E-4</v>
      </c>
      <c r="G129" s="1">
        <f>(0.01*101300)/(287*$A129)</f>
        <v>1.0305450291207812E-3</v>
      </c>
      <c r="H129" s="1">
        <f>(0.1*101300)/(287*$A129)</f>
        <v>1.0305450291207814E-2</v>
      </c>
      <c r="I129" s="1">
        <f>(1*101300)/(287*$A129)</f>
        <v>0.10305450291207813</v>
      </c>
      <c r="J129" s="1">
        <f>B129-287*$A129</f>
        <v>25759239.404999997</v>
      </c>
      <c r="K129" s="1">
        <f>C129-287*$A129</f>
        <v>26354074.583000001</v>
      </c>
      <c r="L129" s="1">
        <f>D129-287*$A129</f>
        <v>8992365.6307999995</v>
      </c>
      <c r="M129" s="1">
        <f>E129-287*$A129</f>
        <v>2587986.4389</v>
      </c>
    </row>
    <row r="130" spans="1:13" x14ac:dyDescent="0.25">
      <c r="A130" s="1">
        <v>3450</v>
      </c>
      <c r="B130">
        <v>26742214.404999997</v>
      </c>
      <c r="C130">
        <v>27337049.583000001</v>
      </c>
      <c r="D130">
        <v>11450060.455</v>
      </c>
      <c r="E130">
        <v>3797542.6825999999</v>
      </c>
      <c r="F130" s="1">
        <f>(0.001*101300)/(287*A130)</f>
        <v>1.0230773115184567E-4</v>
      </c>
      <c r="G130" s="1">
        <f>(0.01*101300)/(287*$A130)</f>
        <v>1.0230773115184567E-3</v>
      </c>
      <c r="H130" s="1">
        <f>(0.1*101300)/(287*$A130)</f>
        <v>1.0230773115184569E-2</v>
      </c>
      <c r="I130" s="1">
        <f>(1*101300)/(287*$A130)</f>
        <v>0.10230773115184567</v>
      </c>
      <c r="J130" s="1">
        <f>B130-287*$A130</f>
        <v>25752064.404999997</v>
      </c>
      <c r="K130" s="1">
        <f>C130-287*$A130</f>
        <v>26346899.583000001</v>
      </c>
      <c r="L130" s="1">
        <f>D130-287*$A130</f>
        <v>10459910.455</v>
      </c>
      <c r="M130" s="1">
        <f>E130-287*$A130</f>
        <v>2807392.6825999999</v>
      </c>
    </row>
    <row r="131" spans="1:13" x14ac:dyDescent="0.25">
      <c r="A131" s="1">
        <v>3475</v>
      </c>
      <c r="B131">
        <v>26742214.404999997</v>
      </c>
      <c r="C131">
        <v>27337049.583000001</v>
      </c>
      <c r="D131">
        <v>13158866.436000001</v>
      </c>
      <c r="E131">
        <v>4058512.4463000004</v>
      </c>
      <c r="F131" s="1">
        <f>(0.001*101300)/(287*A131)</f>
        <v>1.0157170430902665E-4</v>
      </c>
      <c r="G131" s="1">
        <f>(0.01*101300)/(287*$A131)</f>
        <v>1.0157170430902666E-3</v>
      </c>
      <c r="H131" s="1">
        <f>(0.1*101300)/(287*$A131)</f>
        <v>1.0157170430902664E-2</v>
      </c>
      <c r="I131" s="1">
        <f>(1*101300)/(287*$A131)</f>
        <v>0.10157170430902665</v>
      </c>
      <c r="J131" s="1">
        <f>B131-287*$A131</f>
        <v>25744889.404999997</v>
      </c>
      <c r="K131" s="1">
        <f>C131-287*$A131</f>
        <v>26339724.583000001</v>
      </c>
      <c r="L131" s="1">
        <f>D131-287*$A131</f>
        <v>12161541.436000001</v>
      </c>
      <c r="M131" s="1">
        <f>E131-287*$A131</f>
        <v>3061187.4463000004</v>
      </c>
    </row>
    <row r="132" spans="1:13" x14ac:dyDescent="0.25">
      <c r="A132" s="1">
        <v>3500</v>
      </c>
      <c r="B132">
        <v>26742214.404999997</v>
      </c>
      <c r="C132">
        <v>27337049.583000001</v>
      </c>
      <c r="D132">
        <v>15123247.142000001</v>
      </c>
      <c r="E132">
        <v>4359565.1690000007</v>
      </c>
      <c r="F132" s="1">
        <f>(0.001*101300)/(287*A132)</f>
        <v>1.0084619213539074E-4</v>
      </c>
      <c r="G132" s="1">
        <f>(0.01*101300)/(287*$A132)</f>
        <v>1.0084619213539074E-3</v>
      </c>
      <c r="H132" s="1">
        <f>(0.1*101300)/(287*$A132)</f>
        <v>1.0084619213539075E-2</v>
      </c>
      <c r="I132" s="1">
        <f>(1*101300)/(287*$A132)</f>
        <v>0.10084619213539074</v>
      </c>
      <c r="J132" s="1">
        <f>B132-287*$A132</f>
        <v>25737714.404999997</v>
      </c>
      <c r="K132" s="1">
        <f>C132-287*$A132</f>
        <v>26332549.583000001</v>
      </c>
      <c r="L132" s="1">
        <f>D132-287*$A132</f>
        <v>14118747.142000001</v>
      </c>
      <c r="M132" s="1">
        <f>E132-287*$A132</f>
        <v>3355065.1690000007</v>
      </c>
    </row>
    <row r="133" spans="1:13" x14ac:dyDescent="0.25">
      <c r="A133" s="1">
        <v>3525</v>
      </c>
      <c r="B133">
        <v>26742214.404999997</v>
      </c>
      <c r="C133">
        <v>27337049.583000001</v>
      </c>
      <c r="D133">
        <v>17359767.083000001</v>
      </c>
      <c r="E133">
        <v>4707195.4824000001</v>
      </c>
      <c r="F133" s="1">
        <f>(0.001*101300)/(287*A133)</f>
        <v>1.0013097091457236E-4</v>
      </c>
      <c r="G133" s="1">
        <f>(0.01*101300)/(287*$A133)</f>
        <v>1.0013097091457236E-3</v>
      </c>
      <c r="H133" s="1">
        <f>(0.1*101300)/(287*$A133)</f>
        <v>1.0013097091457236E-2</v>
      </c>
      <c r="I133" s="1">
        <f>(1*101300)/(287*$A133)</f>
        <v>0.10013097091457236</v>
      </c>
      <c r="J133" s="1">
        <f>B133-287*$A133</f>
        <v>25730539.404999997</v>
      </c>
      <c r="K133" s="1">
        <f>C133-287*$A133</f>
        <v>26325374.583000001</v>
      </c>
      <c r="L133" s="1">
        <f>D133-287*$A133</f>
        <v>16348092.083000001</v>
      </c>
      <c r="M133" s="1">
        <f>E133-287*$A133</f>
        <v>3695520.4824000001</v>
      </c>
    </row>
    <row r="134" spans="1:13" x14ac:dyDescent="0.25">
      <c r="A134" s="1">
        <v>3550</v>
      </c>
      <c r="B134">
        <v>26742214.404999997</v>
      </c>
      <c r="C134">
        <v>27337049.583000001</v>
      </c>
      <c r="D134">
        <v>19875828.627</v>
      </c>
      <c r="E134">
        <v>5108764.7215</v>
      </c>
      <c r="F134" s="1">
        <f>(0.001*101300)/(287*A134)</f>
        <v>9.9425823232075381E-5</v>
      </c>
      <c r="G134" s="1">
        <f>(0.01*101300)/(287*$A134)</f>
        <v>9.9425823232075381E-4</v>
      </c>
      <c r="H134" s="1">
        <f>(0.1*101300)/(287*$A134)</f>
        <v>9.9425823232075373E-3</v>
      </c>
      <c r="I134" s="1">
        <f>(1*101300)/(287*$A134)</f>
        <v>9.9425823232075383E-2</v>
      </c>
      <c r="J134" s="1">
        <f>B134-287*$A134</f>
        <v>25723364.404999997</v>
      </c>
      <c r="K134" s="1">
        <f>C134-287*$A134</f>
        <v>26318199.583000001</v>
      </c>
      <c r="L134" s="1">
        <f>D134-287*$A134</f>
        <v>18856978.627</v>
      </c>
      <c r="M134" s="1">
        <f>E134-287*$A134</f>
        <v>4089914.7215</v>
      </c>
    </row>
    <row r="135" spans="1:13" x14ac:dyDescent="0.25">
      <c r="A135" s="1">
        <v>3575</v>
      </c>
      <c r="B135">
        <v>26742214.404999997</v>
      </c>
      <c r="C135">
        <v>27337049.583000001</v>
      </c>
      <c r="D135">
        <v>22662079.108999997</v>
      </c>
      <c r="E135">
        <v>5572556.3859999999</v>
      </c>
      <c r="F135" s="1">
        <f>(0.001*101300)/(287*A135)</f>
        <v>9.8730537754928001E-5</v>
      </c>
      <c r="G135" s="1">
        <f>(0.01*101300)/(287*$A135)</f>
        <v>9.8730537754927999E-4</v>
      </c>
      <c r="H135" s="1">
        <f>(0.1*101300)/(287*$A135)</f>
        <v>9.8730537754927999E-3</v>
      </c>
      <c r="I135" s="1">
        <f>(1*101300)/(287*$A135)</f>
        <v>9.8730537754928002E-2</v>
      </c>
      <c r="J135" s="1">
        <f>B135-287*$A135</f>
        <v>25716189.404999997</v>
      </c>
      <c r="K135" s="1">
        <f>C135-287*$A135</f>
        <v>26311024.583000001</v>
      </c>
      <c r="L135" s="1">
        <f>D135-287*$A135</f>
        <v>21636054.108999997</v>
      </c>
      <c r="M135" s="1">
        <f>E135-287*$A135</f>
        <v>4546531.3859999999</v>
      </c>
    </row>
    <row r="136" spans="1:13" x14ac:dyDescent="0.25">
      <c r="A136" s="1">
        <v>3600</v>
      </c>
      <c r="B136">
        <v>26742214.404999997</v>
      </c>
      <c r="C136">
        <v>27337049.583000001</v>
      </c>
      <c r="D136">
        <v>25673390.515000001</v>
      </c>
      <c r="E136">
        <v>6107812.5548999999</v>
      </c>
      <c r="F136" s="1">
        <f>(0.001*101300)/(287*A136)</f>
        <v>9.8044909020518768E-5</v>
      </c>
      <c r="G136" s="1">
        <f>(0.01*101300)/(287*$A136)</f>
        <v>9.8044909020518771E-4</v>
      </c>
      <c r="H136" s="1">
        <f>(0.1*101300)/(287*$A136)</f>
        <v>9.8044909020518784E-3</v>
      </c>
      <c r="I136" s="1">
        <f>(1*101300)/(287*$A136)</f>
        <v>9.8044909020518781E-2</v>
      </c>
      <c r="J136" s="1">
        <f>B136-287*$A136</f>
        <v>25709014.404999997</v>
      </c>
      <c r="K136" s="1">
        <f>C136-287*$A136</f>
        <v>26303849.583000001</v>
      </c>
      <c r="L136" s="1">
        <f>D136-287*$A136</f>
        <v>24640190.515000001</v>
      </c>
      <c r="M136" s="1">
        <f>E136-287*$A136</f>
        <v>5074612.5548999999</v>
      </c>
    </row>
    <row r="137" spans="1:13" x14ac:dyDescent="0.25">
      <c r="A137" s="1">
        <v>3625</v>
      </c>
      <c r="B137">
        <v>26742214.404999997</v>
      </c>
      <c r="C137">
        <v>27337049.583000001</v>
      </c>
      <c r="D137">
        <v>28720379.579</v>
      </c>
      <c r="E137">
        <v>6724740.6094999993</v>
      </c>
      <c r="F137" s="1">
        <f>(0.001*101300)/(287*A137)</f>
        <v>9.7368737234170366E-5</v>
      </c>
      <c r="G137" s="1">
        <f>(0.01*101300)/(287*$A137)</f>
        <v>9.7368737234170368E-4</v>
      </c>
      <c r="H137" s="1">
        <f>(0.1*101300)/(287*$A137)</f>
        <v>9.7368737234170364E-3</v>
      </c>
      <c r="I137" s="1">
        <f>(1*101300)/(287*$A137)</f>
        <v>9.7368737234170374E-2</v>
      </c>
      <c r="J137" s="1">
        <f>B137-287*$A137</f>
        <v>25701839.404999997</v>
      </c>
      <c r="K137" s="1">
        <f>C137-287*$A137</f>
        <v>26296674.583000001</v>
      </c>
      <c r="L137" s="1">
        <f>D137-287*$A137</f>
        <v>27680004.579</v>
      </c>
      <c r="M137" s="1">
        <f>E137-287*$A137</f>
        <v>5684365.6094999993</v>
      </c>
    </row>
    <row r="138" spans="1:13" x14ac:dyDescent="0.25">
      <c r="A138" s="1">
        <v>3650</v>
      </c>
      <c r="B138">
        <v>26742214.404999997</v>
      </c>
      <c r="C138">
        <v>27337049.583000001</v>
      </c>
      <c r="D138">
        <v>28720379.579</v>
      </c>
      <c r="E138">
        <v>7434476.4473999999</v>
      </c>
      <c r="F138" s="1">
        <f>(0.001*101300)/(287*A138)</f>
        <v>9.6701828075032218E-5</v>
      </c>
      <c r="G138" s="1">
        <f>(0.01*101300)/(287*$A138)</f>
        <v>9.6701828075032223E-4</v>
      </c>
      <c r="H138" s="1">
        <f>(0.1*101300)/(287*$A138)</f>
        <v>9.6701828075032217E-3</v>
      </c>
      <c r="I138" s="1">
        <f>(1*101300)/(287*$A138)</f>
        <v>9.670182807503222E-2</v>
      </c>
      <c r="J138" s="1">
        <f>B138-287*$A138</f>
        <v>25694664.404999997</v>
      </c>
      <c r="K138" s="1">
        <f>C138-287*$A138</f>
        <v>26289499.583000001</v>
      </c>
      <c r="L138" s="1">
        <f>D138-287*$A138</f>
        <v>27672829.579</v>
      </c>
      <c r="M138" s="1">
        <f>E138-287*$A138</f>
        <v>6386926.4473999999</v>
      </c>
    </row>
    <row r="139" spans="1:13" x14ac:dyDescent="0.25">
      <c r="A139" s="1">
        <v>3675</v>
      </c>
      <c r="B139">
        <v>26742214.404999997</v>
      </c>
      <c r="C139">
        <v>27337049.583000001</v>
      </c>
      <c r="D139">
        <v>28720379.579</v>
      </c>
      <c r="E139">
        <v>8248986.7073000008</v>
      </c>
      <c r="F139" s="1">
        <f>(0.001*101300)/(287*A139)</f>
        <v>9.604399250989594E-5</v>
      </c>
      <c r="G139" s="1">
        <f>(0.01*101300)/(287*$A139)</f>
        <v>9.6043992509895946E-4</v>
      </c>
      <c r="H139" s="1">
        <f>(0.1*101300)/(287*$A139)</f>
        <v>9.604399250989595E-3</v>
      </c>
      <c r="I139" s="1">
        <f>(1*101300)/(287*$A139)</f>
        <v>9.604399250989594E-2</v>
      </c>
      <c r="J139" s="1">
        <f>B139-287*$A139</f>
        <v>25687489.404999997</v>
      </c>
      <c r="K139" s="1">
        <f>C139-287*$A139</f>
        <v>26282324.583000001</v>
      </c>
      <c r="L139" s="1">
        <f>D139-287*$A139</f>
        <v>27665654.579</v>
      </c>
      <c r="M139" s="1">
        <f>E139-287*$A139</f>
        <v>7194261.7073000008</v>
      </c>
    </row>
    <row r="140" spans="1:13" x14ac:dyDescent="0.25">
      <c r="A140" s="1">
        <v>3700</v>
      </c>
      <c r="B140">
        <v>26742214.404999997</v>
      </c>
      <c r="C140">
        <v>27337049.583000001</v>
      </c>
      <c r="D140">
        <v>28720379.579</v>
      </c>
      <c r="E140">
        <v>9180888.4434999991</v>
      </c>
      <c r="F140" s="1">
        <f>(0.001*101300)/(287*A140)</f>
        <v>9.5395046614558802E-5</v>
      </c>
      <c r="G140" s="1">
        <f>(0.01*101300)/(287*$A140)</f>
        <v>9.5395046614558813E-4</v>
      </c>
      <c r="H140" s="1">
        <f>(0.1*101300)/(287*$A140)</f>
        <v>9.5395046614558804E-3</v>
      </c>
      <c r="I140" s="1">
        <f>(1*101300)/(287*$A140)</f>
        <v>9.5395046614558804E-2</v>
      </c>
      <c r="J140" s="1">
        <f>B140-287*$A140</f>
        <v>25680314.404999997</v>
      </c>
      <c r="K140" s="1">
        <f>C140-287*$A140</f>
        <v>26275149.583000001</v>
      </c>
      <c r="L140" s="1">
        <f>D140-287*$A140</f>
        <v>27658479.579</v>
      </c>
      <c r="M140" s="1">
        <f>E140-287*$A140</f>
        <v>8118988.4434999991</v>
      </c>
    </row>
    <row r="141" spans="1:13" x14ac:dyDescent="0.25">
      <c r="A141" s="1">
        <v>3725</v>
      </c>
      <c r="B141">
        <v>26742214.404999997</v>
      </c>
      <c r="C141">
        <v>27337049.583000001</v>
      </c>
      <c r="D141">
        <v>28720379.579</v>
      </c>
      <c r="E141">
        <v>10243160.308</v>
      </c>
      <c r="F141" s="1">
        <f>(0.001*101300)/(287*A141)</f>
        <v>9.4754811402380555E-5</v>
      </c>
      <c r="G141" s="1">
        <f>(0.01*101300)/(287*$A141)</f>
        <v>9.4754811402380558E-4</v>
      </c>
      <c r="H141" s="1">
        <f>(0.1*101300)/(287*$A141)</f>
        <v>9.4754811402380564E-3</v>
      </c>
      <c r="I141" s="1">
        <f>(1*101300)/(287*$A141)</f>
        <v>9.4754811402380568E-2</v>
      </c>
      <c r="J141" s="1">
        <f>B141-287*$A141</f>
        <v>25673139.404999997</v>
      </c>
      <c r="K141" s="1">
        <f>C141-287*$A141</f>
        <v>26267974.583000001</v>
      </c>
      <c r="L141" s="1">
        <f>D141-287*$A141</f>
        <v>27651304.579</v>
      </c>
      <c r="M141" s="1">
        <f>E141-287*$A141</f>
        <v>9174085.3080000002</v>
      </c>
    </row>
    <row r="142" spans="1:13" x14ac:dyDescent="0.25">
      <c r="A142" s="1">
        <v>3750</v>
      </c>
      <c r="B142">
        <v>26742214.404999997</v>
      </c>
      <c r="C142">
        <v>27337049.583000001</v>
      </c>
      <c r="D142">
        <v>28720379.579</v>
      </c>
      <c r="E142">
        <v>11448714.663000001</v>
      </c>
      <c r="F142" s="1">
        <f>(0.001*101300)/(287*A142)</f>
        <v>9.4123112659698024E-5</v>
      </c>
      <c r="G142" s="1">
        <f>(0.01*101300)/(287*$A142)</f>
        <v>9.4123112659698024E-4</v>
      </c>
      <c r="H142" s="1">
        <f>(0.1*101300)/(287*$A142)</f>
        <v>9.4123112659698031E-3</v>
      </c>
      <c r="I142" s="1">
        <f>(1*101300)/(287*$A142)</f>
        <v>9.4123112659698027E-2</v>
      </c>
      <c r="J142" s="1">
        <f>B142-287*$A142</f>
        <v>25665964.404999997</v>
      </c>
      <c r="K142" s="1">
        <f>C142-287*$A142</f>
        <v>26260799.583000001</v>
      </c>
      <c r="L142" s="1">
        <f>D142-287*$A142</f>
        <v>27644129.579</v>
      </c>
      <c r="M142" s="1">
        <f>E142-287*$A142</f>
        <v>10372464.663000001</v>
      </c>
    </row>
    <row r="143" spans="1:13" x14ac:dyDescent="0.25">
      <c r="A143" s="1">
        <v>3775</v>
      </c>
      <c r="B143">
        <v>26742214.404999997</v>
      </c>
      <c r="C143">
        <v>27337049.583000001</v>
      </c>
      <c r="D143">
        <v>28720379.579</v>
      </c>
      <c r="E143">
        <v>12809794.771000002</v>
      </c>
      <c r="F143" s="1">
        <f>(0.001*101300)/(287*A143)</f>
        <v>9.349978078777949E-5</v>
      </c>
      <c r="G143" s="1">
        <f>(0.01*101300)/(287*$A143)</f>
        <v>9.3499780787779496E-4</v>
      </c>
      <c r="H143" s="1">
        <f>(0.1*101300)/(287*$A143)</f>
        <v>9.3499780787779496E-3</v>
      </c>
      <c r="I143" s="1">
        <f>(1*101300)/(287*$A143)</f>
        <v>9.3499780787779499E-2</v>
      </c>
      <c r="J143" s="1">
        <f>B143-287*$A143</f>
        <v>25658789.404999997</v>
      </c>
      <c r="K143" s="1">
        <f>C143-287*$A143</f>
        <v>26253624.583000001</v>
      </c>
      <c r="L143" s="1">
        <f>D143-287*$A143</f>
        <v>27636954.579</v>
      </c>
      <c r="M143" s="1">
        <f>E143-287*$A143</f>
        <v>11726369.771000002</v>
      </c>
    </row>
    <row r="144" spans="1:13" x14ac:dyDescent="0.25">
      <c r="A144" s="1">
        <v>3800</v>
      </c>
      <c r="B144">
        <v>26742214.404999997</v>
      </c>
      <c r="C144">
        <v>27337049.583000001</v>
      </c>
      <c r="D144">
        <v>28720379.579</v>
      </c>
      <c r="E144">
        <v>14337153.627</v>
      </c>
      <c r="F144" s="1">
        <f>(0.001*101300)/(287*A144)</f>
        <v>9.2884650651017792E-5</v>
      </c>
      <c r="G144" s="1">
        <f>(0.01*101300)/(287*$A144)</f>
        <v>9.2884650651017787E-4</v>
      </c>
      <c r="H144" s="1">
        <f>(0.1*101300)/(287*$A144)</f>
        <v>9.2884650651017791E-3</v>
      </c>
      <c r="I144" s="1">
        <f>(1*101300)/(287*$A144)</f>
        <v>9.2884650651017794E-2</v>
      </c>
      <c r="J144" s="1">
        <f>B144-287*$A144</f>
        <v>25651614.404999997</v>
      </c>
      <c r="K144" s="1">
        <f>C144-287*$A144</f>
        <v>26246449.583000001</v>
      </c>
      <c r="L144" s="1">
        <f>D144-287*$A144</f>
        <v>27629779.579</v>
      </c>
      <c r="M144" s="1">
        <f>E144-287*$A144</f>
        <v>13246553.627</v>
      </c>
    </row>
    <row r="145" spans="1:13" x14ac:dyDescent="0.25">
      <c r="A145" s="1">
        <v>3825</v>
      </c>
      <c r="B145">
        <v>26742214.404999997</v>
      </c>
      <c r="C145">
        <v>27337049.583000001</v>
      </c>
      <c r="D145">
        <v>28720379.579</v>
      </c>
      <c r="E145">
        <v>16038955.393000001</v>
      </c>
      <c r="F145" s="1">
        <f>(0.001*101300)/(287*A145)</f>
        <v>9.2277561431076499E-5</v>
      </c>
      <c r="G145" s="1">
        <f>(0.01*101300)/(287*$A145)</f>
        <v>9.2277561431076494E-4</v>
      </c>
      <c r="H145" s="1">
        <f>(0.1*101300)/(287*$A145)</f>
        <v>9.2277561431076491E-3</v>
      </c>
      <c r="I145" s="1">
        <f>(1*101300)/(287*$A145)</f>
        <v>9.2277561431076502E-2</v>
      </c>
      <c r="J145" s="1">
        <f>B145-287*$A145</f>
        <v>25644439.404999997</v>
      </c>
      <c r="K145" s="1">
        <f>C145-287*$A145</f>
        <v>26239274.583000001</v>
      </c>
      <c r="L145" s="1">
        <f>D145-287*$A145</f>
        <v>27622604.579</v>
      </c>
      <c r="M145" s="1">
        <f>E145-287*$A145</f>
        <v>14941180.393000001</v>
      </c>
    </row>
    <row r="146" spans="1:13" x14ac:dyDescent="0.25">
      <c r="A146" s="1">
        <v>3850</v>
      </c>
      <c r="B146">
        <v>26742214.404999997</v>
      </c>
      <c r="C146">
        <v>27337049.583000001</v>
      </c>
      <c r="D146">
        <v>28720379.579</v>
      </c>
      <c r="E146">
        <v>17919299.829999998</v>
      </c>
      <c r="F146" s="1">
        <f>(0.001*101300)/(287*A146)</f>
        <v>9.1678356486718859E-5</v>
      </c>
      <c r="G146" s="1">
        <f>(0.01*101300)/(287*$A146)</f>
        <v>9.1678356486718851E-4</v>
      </c>
      <c r="H146" s="1">
        <f>(0.1*101300)/(287*$A146)</f>
        <v>9.1678356486718862E-3</v>
      </c>
      <c r="I146" s="1">
        <f>(1*101300)/(287*$A146)</f>
        <v>9.1678356486718862E-2</v>
      </c>
      <c r="J146" s="1">
        <f>B146-287*$A146</f>
        <v>25637264.404999997</v>
      </c>
      <c r="K146" s="1">
        <f>C146-287*$A146</f>
        <v>26232099.583000001</v>
      </c>
      <c r="L146" s="1">
        <f>D146-287*$A146</f>
        <v>27615429.579</v>
      </c>
      <c r="M146" s="1">
        <f>E146-287*$A146</f>
        <v>16814349.829999998</v>
      </c>
    </row>
    <row r="147" spans="1:13" x14ac:dyDescent="0.25">
      <c r="A147" s="1">
        <v>3875</v>
      </c>
      <c r="B147">
        <v>26742214.404999997</v>
      </c>
      <c r="C147">
        <v>27337049.583000001</v>
      </c>
      <c r="D147">
        <v>28720379.579</v>
      </c>
      <c r="E147">
        <v>19976150.480999999</v>
      </c>
      <c r="F147" s="1">
        <f>(0.001*101300)/(287*A147)</f>
        <v>9.1086883219062599E-5</v>
      </c>
      <c r="G147" s="1">
        <f>(0.01*101300)/(287*$A147)</f>
        <v>9.108688321906261E-4</v>
      </c>
      <c r="H147" s="1">
        <f>(0.1*101300)/(287*$A147)</f>
        <v>9.1086883219062605E-3</v>
      </c>
      <c r="I147" s="1">
        <f>(1*101300)/(287*$A147)</f>
        <v>9.1086883219062609E-2</v>
      </c>
      <c r="J147" s="1">
        <f>B147-287*$A147</f>
        <v>25630089.404999997</v>
      </c>
      <c r="K147" s="1">
        <f>C147-287*$A147</f>
        <v>26224924.583000001</v>
      </c>
      <c r="L147" s="1">
        <f>D147-287*$A147</f>
        <v>27608254.579</v>
      </c>
      <c r="M147" s="1">
        <f>E147-287*$A147</f>
        <v>18864025.480999999</v>
      </c>
    </row>
    <row r="148" spans="1:13" x14ac:dyDescent="0.25">
      <c r="A148" s="1">
        <v>3900</v>
      </c>
      <c r="B148">
        <v>26742214.404999997</v>
      </c>
      <c r="C148">
        <v>27337049.583000001</v>
      </c>
      <c r="D148">
        <v>28720379.579</v>
      </c>
      <c r="E148">
        <v>22198056.347999997</v>
      </c>
      <c r="F148" s="1">
        <f>(0.001*101300)/(287*A148)</f>
        <v>9.0502992942017327E-5</v>
      </c>
      <c r="G148" s="1">
        <f>(0.01*101300)/(287*$A148)</f>
        <v>9.0502992942017332E-4</v>
      </c>
      <c r="H148" s="1">
        <f>(0.1*101300)/(287*$A148)</f>
        <v>9.0502992942017337E-3</v>
      </c>
      <c r="I148" s="1">
        <f>(1*101300)/(287*$A148)</f>
        <v>9.050299294201733E-2</v>
      </c>
      <c r="J148" s="1">
        <f>B148-287*$A148</f>
        <v>25622914.404999997</v>
      </c>
      <c r="K148" s="1">
        <f>C148-287*$A148</f>
        <v>26217749.583000001</v>
      </c>
      <c r="L148" s="1">
        <f>D148-287*$A148</f>
        <v>27601079.579</v>
      </c>
      <c r="M148" s="1">
        <f>E148-287*$A148</f>
        <v>21078756.347999997</v>
      </c>
    </row>
    <row r="149" spans="1:13" x14ac:dyDescent="0.25">
      <c r="A149" s="1">
        <v>3925</v>
      </c>
      <c r="B149">
        <v>26742214.404999997</v>
      </c>
      <c r="C149">
        <v>27337049.583000001</v>
      </c>
      <c r="D149">
        <v>28720379.579</v>
      </c>
      <c r="E149">
        <v>24557528.272999998</v>
      </c>
      <c r="F149" s="1">
        <f>(0.001*101300)/(287*A149)</f>
        <v>8.9926540757673265E-5</v>
      </c>
      <c r="G149" s="1">
        <f>(0.01*101300)/(287*$A149)</f>
        <v>8.9926540757673268E-4</v>
      </c>
      <c r="H149" s="1">
        <f>(0.1*101300)/(287*$A149)</f>
        <v>8.9926540757673274E-3</v>
      </c>
      <c r="I149" s="1">
        <f>(1*101300)/(287*$A149)</f>
        <v>8.9926540757673271E-2</v>
      </c>
      <c r="J149" s="1">
        <f>B149-287*$A149</f>
        <v>25615739.404999997</v>
      </c>
      <c r="K149" s="1">
        <f>C149-287*$A149</f>
        <v>26210574.583000001</v>
      </c>
      <c r="L149" s="1">
        <f>D149-287*$A149</f>
        <v>27593904.579</v>
      </c>
      <c r="M149" s="1">
        <f>E149-287*$A149</f>
        <v>23431053.272999998</v>
      </c>
    </row>
    <row r="150" spans="1:13" x14ac:dyDescent="0.25">
      <c r="A150" s="1">
        <v>3950</v>
      </c>
      <c r="B150">
        <v>26742214.404999997</v>
      </c>
      <c r="C150">
        <v>27337049.583000001</v>
      </c>
      <c r="D150">
        <v>28720379.579</v>
      </c>
      <c r="E150">
        <v>26990399.352000002</v>
      </c>
      <c r="F150" s="1">
        <f>(0.001*101300)/(287*A150)</f>
        <v>8.9357385436422178E-5</v>
      </c>
      <c r="G150" s="1">
        <f>(0.01*101300)/(287*$A150)</f>
        <v>8.9357385436422178E-4</v>
      </c>
      <c r="H150" s="1">
        <f>(0.1*101300)/(287*$A150)</f>
        <v>8.9357385436422184E-3</v>
      </c>
      <c r="I150" s="1">
        <f>(1*101300)/(287*$A150)</f>
        <v>8.9357385436422174E-2</v>
      </c>
      <c r="J150" s="1">
        <f>B150-287*$A150</f>
        <v>25608564.404999997</v>
      </c>
      <c r="K150" s="1">
        <f>C150-287*$A150</f>
        <v>26203399.583000001</v>
      </c>
      <c r="L150" s="1">
        <f>D150-287*$A150</f>
        <v>27586729.579</v>
      </c>
      <c r="M150" s="1">
        <f>E150-287*$A150</f>
        <v>25856749.352000002</v>
      </c>
    </row>
    <row r="151" spans="1:13" x14ac:dyDescent="0.25">
      <c r="A151" s="1">
        <v>3975</v>
      </c>
      <c r="B151">
        <v>26742214.404999997</v>
      </c>
      <c r="C151">
        <v>27337049.583000001</v>
      </c>
      <c r="D151">
        <v>28720379.579</v>
      </c>
      <c r="E151">
        <v>26990399.352000002</v>
      </c>
      <c r="F151" s="1">
        <f>(0.001*101300)/(287*A151)</f>
        <v>8.8795389301601907E-5</v>
      </c>
      <c r="G151" s="1">
        <f>(0.01*101300)/(287*$A151)</f>
        <v>8.8795389301601912E-4</v>
      </c>
      <c r="H151" s="1">
        <f>(0.1*101300)/(287*$A151)</f>
        <v>8.8795389301601912E-3</v>
      </c>
      <c r="I151" s="1">
        <f>(1*101300)/(287*$A151)</f>
        <v>8.8795389301601912E-2</v>
      </c>
      <c r="J151" s="1">
        <f>B151-287*$A151</f>
        <v>25601389.404999997</v>
      </c>
      <c r="K151" s="1">
        <f>C151-287*$A151</f>
        <v>26196224.583000001</v>
      </c>
      <c r="L151" s="1">
        <f>D151-287*$A151</f>
        <v>27579554.579</v>
      </c>
      <c r="M151" s="1">
        <f>E151-287*$A151</f>
        <v>25849574.352000002</v>
      </c>
    </row>
    <row r="152" spans="1:13" x14ac:dyDescent="0.25">
      <c r="A152" s="1">
        <v>4000</v>
      </c>
      <c r="B152">
        <v>26742214.404999997</v>
      </c>
      <c r="C152">
        <v>27337049.583000001</v>
      </c>
      <c r="D152">
        <v>28720379.579</v>
      </c>
      <c r="E152">
        <v>26990399.352000002</v>
      </c>
      <c r="F152" s="1">
        <f>(0.001*101300)/(287*A152)</f>
        <v>8.8240418118466901E-5</v>
      </c>
      <c r="G152" s="1">
        <f>(0.01*101300)/(287*$A152)</f>
        <v>8.8240418118466898E-4</v>
      </c>
      <c r="H152" s="1">
        <f>(0.1*101300)/(287*$A152)</f>
        <v>8.8240418118466901E-3</v>
      </c>
      <c r="I152" s="1">
        <f>(1*101300)/(287*$A152)</f>
        <v>8.8240418118466904E-2</v>
      </c>
      <c r="J152" s="1">
        <f>B152-287*$A152</f>
        <v>25594214.404999997</v>
      </c>
      <c r="K152" s="1">
        <f>C152-287*$A152</f>
        <v>26189049.583000001</v>
      </c>
      <c r="L152" s="1">
        <f>D152-287*$A152</f>
        <v>27572379.579</v>
      </c>
      <c r="M152" s="1">
        <f>E152-287*$A152</f>
        <v>25842399.352000002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Air_enthalpy</vt:lpstr>
      <vt:lpstr>Air_density</vt:lpstr>
      <vt:lpstr>Air_energy</vt:lpstr>
      <vt:lpstr>Air_Properties_full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McAfee</dc:creator>
  <cp:lastModifiedBy>Kenneth McAfee</cp:lastModifiedBy>
  <dcterms:created xsi:type="dcterms:W3CDTF">2024-10-09T02:33:11Z</dcterms:created>
  <dcterms:modified xsi:type="dcterms:W3CDTF">2024-10-09T03:10:27Z</dcterms:modified>
</cp:coreProperties>
</file>