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kmac7\Dropbox\University of Maryland\Research - UMD\NSTGRO\Greens Functions\Summer 2024 VTE Enclosed Version\Materials\TACOT\"/>
    </mc:Choice>
  </mc:AlternateContent>
  <xr:revisionPtr revIDLastSave="0" documentId="13_ncr:1_{26389DE9-D97B-4A41-BD2F-EAC01A09F6DD}" xr6:coauthVersionLast="47" xr6:coauthVersionMax="47" xr10:uidLastSave="{00000000-0000-0000-0000-000000000000}"/>
  <bookViews>
    <workbookView xWindow="28680" yWindow="-13920" windowWidth="29040" windowHeight="15720" xr2:uid="{00000000-000D-0000-FFFF-FFFF00000000}"/>
  </bookViews>
  <sheets>
    <sheet name="Virgin_k" sheetId="4" r:id="rId1"/>
    <sheet name="Char_k" sheetId="6" r:id="rId2"/>
    <sheet name="Virgin_Cp" sheetId="5" r:id="rId3"/>
    <sheet name="Char_Cp" sheetId="7" r:id="rId4"/>
    <sheet name="Virgin_eps" sheetId="8" r:id="rId5"/>
    <sheet name="Char_eps" sheetId="9" r:id="rId6"/>
    <sheet name="Virgin_rho" sheetId="10" r:id="rId7"/>
    <sheet name="Char_rho" sheetId="11" r:id="rId8"/>
    <sheet name="Virgin_enthalpy" sheetId="2" r:id="rId9"/>
    <sheet name="Char_enthalpy" sheetId="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5" i="4"/>
  <c r="C6" i="4"/>
  <c r="C7" i="4"/>
  <c r="C8" i="4"/>
  <c r="C9" i="4"/>
  <c r="C10" i="4"/>
  <c r="C11" i="4"/>
  <c r="C12" i="4"/>
  <c r="C13" i="4"/>
  <c r="C14" i="4"/>
  <c r="C15" i="4"/>
  <c r="C3" i="4"/>
  <c r="C4" i="6"/>
  <c r="C5" i="6"/>
  <c r="C6" i="6"/>
  <c r="C7" i="6"/>
  <c r="C8" i="6"/>
  <c r="C9" i="6"/>
  <c r="C10" i="6"/>
  <c r="C11" i="6"/>
  <c r="C12" i="6"/>
  <c r="C13" i="6"/>
  <c r="C14" i="6"/>
  <c r="C15" i="6"/>
  <c r="C3" i="6"/>
</calcChain>
</file>

<file path=xl/sharedStrings.xml><?xml version="1.0" encoding="utf-8"?>
<sst xmlns="http://schemas.openxmlformats.org/spreadsheetml/2006/main" count="20" uniqueCount="8">
  <si>
    <t>h(J/kg)</t>
  </si>
  <si>
    <t>T (in K)</t>
  </si>
  <si>
    <t>cp (J/kg/K)</t>
  </si>
  <si>
    <t>Pressure (atm)</t>
  </si>
  <si>
    <t>k (W/m-k)</t>
  </si>
  <si>
    <t>T (K)</t>
  </si>
  <si>
    <t>Emissivity</t>
  </si>
  <si>
    <t>rho (kg/m^3)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</si>
</sst>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8586-8245-44E7-B4B3-6E1F9F1A810F}">
  <dimension ref="A1:C15"/>
  <sheetViews>
    <sheetView tabSelected="1" workbookViewId="0">
      <selection activeCell="E21" sqref="E21"/>
    </sheetView>
  </sheetViews>
  <sheetFormatPr defaultRowHeight="14.4" x14ac:dyDescent="0.3"/>
  <cols>
    <col min="1" max="1" width="12" bestFit="1" customWidth="1"/>
    <col min="2" max="2" width="14.109375" bestFit="1" customWidth="1"/>
  </cols>
  <sheetData>
    <row r="1" spans="1:3" x14ac:dyDescent="0.3">
      <c r="A1" t="s">
        <v>4</v>
      </c>
      <c r="B1" t="s">
        <v>3</v>
      </c>
    </row>
    <row r="2" spans="1:3" x14ac:dyDescent="0.3">
      <c r="A2" t="s">
        <v>5</v>
      </c>
      <c r="B2">
        <v>1</v>
      </c>
      <c r="C2">
        <v>1E-4</v>
      </c>
    </row>
    <row r="3" spans="1:3" x14ac:dyDescent="0.3">
      <c r="A3">
        <v>255.55555555555554</v>
      </c>
      <c r="B3">
        <v>0.39751513823999995</v>
      </c>
      <c r="C3">
        <f>B3</f>
        <v>0.39751513823999995</v>
      </c>
    </row>
    <row r="4" spans="1:3" x14ac:dyDescent="0.3">
      <c r="A4">
        <v>298</v>
      </c>
      <c r="B4">
        <v>0.40249965407999999</v>
      </c>
      <c r="C4">
        <f t="shared" ref="C4:C15" si="0">B4</f>
        <v>0.40249965407999999</v>
      </c>
    </row>
    <row r="5" spans="1:3" x14ac:dyDescent="0.3">
      <c r="A5">
        <v>444.44444444444446</v>
      </c>
      <c r="B5">
        <v>0.41620707264000001</v>
      </c>
      <c r="C5">
        <f t="shared" si="0"/>
        <v>0.41620707264000001</v>
      </c>
    </row>
    <row r="6" spans="1:3" x14ac:dyDescent="0.3">
      <c r="A6">
        <v>555.55555555555554</v>
      </c>
      <c r="B6">
        <v>0.45296787695999996</v>
      </c>
      <c r="C6">
        <f t="shared" si="0"/>
        <v>0.45296787695999996</v>
      </c>
    </row>
    <row r="7" spans="1:3" x14ac:dyDescent="0.3">
      <c r="A7">
        <v>644.44444444444446</v>
      </c>
      <c r="B7">
        <v>0.46979061792000004</v>
      </c>
      <c r="C7">
        <f t="shared" si="0"/>
        <v>0.46979061792000004</v>
      </c>
    </row>
    <row r="8" spans="1:3" x14ac:dyDescent="0.3">
      <c r="A8">
        <v>833.33333333333326</v>
      </c>
      <c r="B8">
        <v>0.48599029439999997</v>
      </c>
      <c r="C8">
        <f t="shared" si="0"/>
        <v>0.48599029439999997</v>
      </c>
    </row>
    <row r="9" spans="1:3" x14ac:dyDescent="0.3">
      <c r="A9">
        <v>1111.1111111111111</v>
      </c>
      <c r="B9">
        <v>0.52337416319999996</v>
      </c>
      <c r="C9">
        <f t="shared" si="0"/>
        <v>0.52337416319999996</v>
      </c>
    </row>
    <row r="10" spans="1:3" x14ac:dyDescent="0.3">
      <c r="A10">
        <v>1388.8888888888889</v>
      </c>
      <c r="B10">
        <v>0.56013496751999992</v>
      </c>
      <c r="C10">
        <f t="shared" si="0"/>
        <v>0.56013496751999992</v>
      </c>
    </row>
    <row r="11" spans="1:3" x14ac:dyDescent="0.3">
      <c r="A11">
        <v>1666.6666666666665</v>
      </c>
      <c r="B11">
        <v>0.69783221760000003</v>
      </c>
      <c r="C11">
        <f t="shared" si="0"/>
        <v>0.69783221760000003</v>
      </c>
    </row>
    <row r="12" spans="1:3" x14ac:dyDescent="0.3">
      <c r="A12">
        <v>1944.4444444444443</v>
      </c>
      <c r="B12">
        <v>0.87229027200000009</v>
      </c>
      <c r="C12">
        <f t="shared" si="0"/>
        <v>0.87229027200000009</v>
      </c>
    </row>
    <row r="13" spans="1:3" x14ac:dyDescent="0.3">
      <c r="A13">
        <v>2222.2222222222222</v>
      </c>
      <c r="B13">
        <v>1.1090547743999999</v>
      </c>
      <c r="C13">
        <f t="shared" si="0"/>
        <v>1.1090547743999999</v>
      </c>
    </row>
    <row r="14" spans="1:3" x14ac:dyDescent="0.3">
      <c r="A14">
        <v>2777.7777777777778</v>
      </c>
      <c r="B14">
        <v>1.7508111888</v>
      </c>
      <c r="C14">
        <f t="shared" si="0"/>
        <v>1.7508111888</v>
      </c>
    </row>
    <row r="15" spans="1:3" x14ac:dyDescent="0.3">
      <c r="A15">
        <v>3333.333333333333</v>
      </c>
      <c r="B15">
        <v>2.7788675808000001</v>
      </c>
      <c r="C15">
        <f t="shared" si="0"/>
        <v>2.7788675808000001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9948-4847-4487-BC13-A67568877B54}">
  <dimension ref="A1:C15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4</v>
      </c>
      <c r="B1" t="s">
        <v>3</v>
      </c>
    </row>
    <row r="2" spans="1:3" x14ac:dyDescent="0.3">
      <c r="A2" t="s">
        <v>5</v>
      </c>
      <c r="B2">
        <v>1</v>
      </c>
      <c r="C2">
        <v>1E-4</v>
      </c>
    </row>
    <row r="3" spans="1:3" x14ac:dyDescent="0.3">
      <c r="A3">
        <v>255.55555555555554</v>
      </c>
      <c r="B3">
        <v>0.39751513823999995</v>
      </c>
      <c r="C3">
        <f>B3</f>
        <v>0.39751513823999995</v>
      </c>
    </row>
    <row r="4" spans="1:3" x14ac:dyDescent="0.3">
      <c r="A4">
        <v>298</v>
      </c>
      <c r="B4">
        <v>0.40249965407999999</v>
      </c>
      <c r="C4">
        <f t="shared" ref="C4:C15" si="0">B4</f>
        <v>0.40249965407999999</v>
      </c>
    </row>
    <row r="5" spans="1:3" x14ac:dyDescent="0.3">
      <c r="A5">
        <v>444.44444444444446</v>
      </c>
      <c r="B5">
        <v>0.41620707264000001</v>
      </c>
      <c r="C5">
        <f t="shared" si="0"/>
        <v>0.41620707264000001</v>
      </c>
    </row>
    <row r="6" spans="1:3" x14ac:dyDescent="0.3">
      <c r="A6">
        <v>555.55555555555554</v>
      </c>
      <c r="B6">
        <v>0.45296787695999996</v>
      </c>
      <c r="C6">
        <f t="shared" si="0"/>
        <v>0.45296787695999996</v>
      </c>
    </row>
    <row r="7" spans="1:3" x14ac:dyDescent="0.3">
      <c r="A7">
        <v>644.44444444444446</v>
      </c>
      <c r="B7">
        <v>0.46979061792000004</v>
      </c>
      <c r="C7">
        <f t="shared" si="0"/>
        <v>0.46979061792000004</v>
      </c>
    </row>
    <row r="8" spans="1:3" x14ac:dyDescent="0.3">
      <c r="A8">
        <v>833.33333333333326</v>
      </c>
      <c r="B8">
        <v>0.48599029439999997</v>
      </c>
      <c r="C8">
        <f t="shared" si="0"/>
        <v>0.48599029439999997</v>
      </c>
    </row>
    <row r="9" spans="1:3" x14ac:dyDescent="0.3">
      <c r="A9">
        <v>1111.1111111111111</v>
      </c>
      <c r="B9">
        <v>0.52337416319999996</v>
      </c>
      <c r="C9">
        <f t="shared" si="0"/>
        <v>0.52337416319999996</v>
      </c>
    </row>
    <row r="10" spans="1:3" x14ac:dyDescent="0.3">
      <c r="A10">
        <v>1388.8888888888889</v>
      </c>
      <c r="B10">
        <v>0.56013496751999992</v>
      </c>
      <c r="C10">
        <f t="shared" si="0"/>
        <v>0.56013496751999992</v>
      </c>
    </row>
    <row r="11" spans="1:3" x14ac:dyDescent="0.3">
      <c r="A11">
        <v>1666.6666666666665</v>
      </c>
      <c r="B11">
        <v>0.60499561008000002</v>
      </c>
      <c r="C11">
        <f t="shared" si="0"/>
        <v>0.60499561008000002</v>
      </c>
    </row>
    <row r="12" spans="1:3" x14ac:dyDescent="0.3">
      <c r="A12">
        <v>1944.4444444444443</v>
      </c>
      <c r="B12">
        <v>0.72898544160000001</v>
      </c>
      <c r="C12">
        <f t="shared" si="0"/>
        <v>0.72898544160000001</v>
      </c>
    </row>
    <row r="13" spans="1:3" x14ac:dyDescent="0.3">
      <c r="A13">
        <v>2222.2222222222222</v>
      </c>
      <c r="B13">
        <v>0.92213543040000001</v>
      </c>
      <c r="C13">
        <f t="shared" si="0"/>
        <v>0.92213543040000001</v>
      </c>
    </row>
    <row r="14" spans="1:3" x14ac:dyDescent="0.3">
      <c r="A14">
        <v>2777.7777777777778</v>
      </c>
      <c r="B14">
        <v>1.4579708832</v>
      </c>
      <c r="C14">
        <f t="shared" si="0"/>
        <v>1.4579708832</v>
      </c>
    </row>
    <row r="15" spans="1:3" x14ac:dyDescent="0.3">
      <c r="A15">
        <v>3333.333333333333</v>
      </c>
      <c r="B15">
        <v>2.3177998656000001</v>
      </c>
      <c r="C15">
        <f t="shared" si="0"/>
        <v>2.3177998656000001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D0DC-ACA9-44E1-B9B5-DCE867A956DA}">
  <dimension ref="A1:B14"/>
  <sheetViews>
    <sheetView workbookViewId="0"/>
  </sheetViews>
  <sheetFormatPr defaultRowHeight="14.4" x14ac:dyDescent="0.3"/>
  <sheetData>
    <row r="1" spans="1:2" x14ac:dyDescent="0.3">
      <c r="A1" t="s">
        <v>5</v>
      </c>
      <c r="B1" t="s">
        <v>2</v>
      </c>
    </row>
    <row r="2" spans="1:2" x14ac:dyDescent="0.3">
      <c r="A2">
        <v>255.55555555555554</v>
      </c>
      <c r="B2">
        <v>879.22799999999995</v>
      </c>
    </row>
    <row r="3" spans="1:2" x14ac:dyDescent="0.3">
      <c r="A3">
        <v>298</v>
      </c>
      <c r="B3">
        <v>983.89800000000014</v>
      </c>
    </row>
    <row r="4" spans="1:2" x14ac:dyDescent="0.3">
      <c r="A4">
        <v>444.44444444444446</v>
      </c>
      <c r="B4">
        <v>1297.9080000000001</v>
      </c>
    </row>
    <row r="5" spans="1:2" x14ac:dyDescent="0.3">
      <c r="A5">
        <v>555.55555555555554</v>
      </c>
      <c r="B5">
        <v>1465.3799999999999</v>
      </c>
    </row>
    <row r="6" spans="1:2" x14ac:dyDescent="0.3">
      <c r="A6">
        <v>644.44444444444446</v>
      </c>
      <c r="B6">
        <v>1570.0500000000002</v>
      </c>
    </row>
    <row r="7" spans="1:2" x14ac:dyDescent="0.3">
      <c r="A7">
        <v>833.33333333333326</v>
      </c>
      <c r="B7">
        <v>1716.588</v>
      </c>
    </row>
    <row r="8" spans="1:2" x14ac:dyDescent="0.3">
      <c r="A8">
        <v>1111.1111111111111</v>
      </c>
      <c r="B8">
        <v>1863.1260000000002</v>
      </c>
    </row>
    <row r="9" spans="1:2" x14ac:dyDescent="0.3">
      <c r="A9">
        <v>1388.8888888888889</v>
      </c>
      <c r="B9">
        <v>1934.3016000000002</v>
      </c>
    </row>
    <row r="10" spans="1:2" x14ac:dyDescent="0.3">
      <c r="A10">
        <v>1666.6666666666665</v>
      </c>
      <c r="B10">
        <v>1980.3564000000001</v>
      </c>
    </row>
    <row r="11" spans="1:2" x14ac:dyDescent="0.3">
      <c r="A11">
        <v>1944.4444444444443</v>
      </c>
      <c r="B11">
        <v>1988.7300000000002</v>
      </c>
    </row>
    <row r="12" spans="1:2" x14ac:dyDescent="0.3">
      <c r="A12">
        <v>2222.2222222222222</v>
      </c>
      <c r="B12">
        <v>2001.2904000000003</v>
      </c>
    </row>
    <row r="13" spans="1:2" x14ac:dyDescent="0.3">
      <c r="A13">
        <v>2777.7777777777778</v>
      </c>
      <c r="B13">
        <v>2009.664</v>
      </c>
    </row>
    <row r="14" spans="1:2" x14ac:dyDescent="0.3">
      <c r="A14">
        <v>3333.333333333333</v>
      </c>
      <c r="B14">
        <v>2009.664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FDEB-8225-471F-889B-DC869FB79C2C}">
  <dimension ref="A1:B14"/>
  <sheetViews>
    <sheetView workbookViewId="0"/>
  </sheetViews>
  <sheetFormatPr defaultRowHeight="14.4" x14ac:dyDescent="0.3"/>
  <sheetData>
    <row r="1" spans="1:2" x14ac:dyDescent="0.3">
      <c r="A1" t="s">
        <v>5</v>
      </c>
      <c r="B1" t="s">
        <v>2</v>
      </c>
    </row>
    <row r="2" spans="1:2" x14ac:dyDescent="0.3">
      <c r="A2">
        <v>255.55555555555554</v>
      </c>
      <c r="B2">
        <v>732.69</v>
      </c>
    </row>
    <row r="3" spans="1:2" x14ac:dyDescent="0.3">
      <c r="A3">
        <v>298</v>
      </c>
      <c r="B3">
        <v>782.9316</v>
      </c>
    </row>
    <row r="4" spans="1:2" x14ac:dyDescent="0.3">
      <c r="A4">
        <v>444.44444444444446</v>
      </c>
      <c r="B4">
        <v>1092.7548000000002</v>
      </c>
    </row>
    <row r="5" spans="1:2" x14ac:dyDescent="0.3">
      <c r="A5">
        <v>555.55555555555554</v>
      </c>
      <c r="B5">
        <v>1318.8420000000001</v>
      </c>
    </row>
    <row r="6" spans="1:2" x14ac:dyDescent="0.3">
      <c r="A6">
        <v>644.44444444444446</v>
      </c>
      <c r="B6">
        <v>1431.8856000000001</v>
      </c>
    </row>
    <row r="7" spans="1:2" x14ac:dyDescent="0.3">
      <c r="A7">
        <v>833.33333333333326</v>
      </c>
      <c r="B7">
        <v>1674.7200000000003</v>
      </c>
    </row>
    <row r="8" spans="1:2" x14ac:dyDescent="0.3">
      <c r="A8">
        <v>1111.1111111111111</v>
      </c>
      <c r="B8">
        <v>1842.192</v>
      </c>
    </row>
    <row r="9" spans="1:2" x14ac:dyDescent="0.3">
      <c r="A9">
        <v>1388.8888888888889</v>
      </c>
      <c r="B9">
        <v>1967.796</v>
      </c>
    </row>
    <row r="10" spans="1:2" x14ac:dyDescent="0.3">
      <c r="A10">
        <v>1666.6666666666665</v>
      </c>
      <c r="B10">
        <v>2051.5320000000002</v>
      </c>
    </row>
    <row r="11" spans="1:2" x14ac:dyDescent="0.3">
      <c r="A11">
        <v>1944.4444444444443</v>
      </c>
      <c r="B11">
        <v>2093.4</v>
      </c>
    </row>
    <row r="12" spans="1:2" x14ac:dyDescent="0.3">
      <c r="A12">
        <v>2222.2222222222222</v>
      </c>
      <c r="B12">
        <v>2110.1471999999999</v>
      </c>
    </row>
    <row r="13" spans="1:2" x14ac:dyDescent="0.3">
      <c r="A13">
        <v>2777.7777777777778</v>
      </c>
      <c r="B13">
        <v>2135.268</v>
      </c>
    </row>
    <row r="14" spans="1:2" x14ac:dyDescent="0.3">
      <c r="A14">
        <v>3333.333333333333</v>
      </c>
      <c r="B14">
        <v>2152.0152000000003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0F1C-B1BA-4FEC-A5D2-F4AED021355A}">
  <dimension ref="A1:B3"/>
  <sheetViews>
    <sheetView workbookViewId="0">
      <selection activeCell="I35" sqref="I35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300</v>
      </c>
      <c r="B2">
        <v>0.8</v>
      </c>
    </row>
    <row r="3" spans="1:2" x14ac:dyDescent="0.3">
      <c r="A3">
        <v>500</v>
      </c>
      <c r="B3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258C-72F0-413A-AA06-CB205A9197F6}">
  <dimension ref="A1:B3"/>
  <sheetViews>
    <sheetView workbookViewId="0">
      <selection activeCell="G48" sqref="G48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300</v>
      </c>
      <c r="B2">
        <v>0.9</v>
      </c>
    </row>
    <row r="3" spans="1:2" x14ac:dyDescent="0.3">
      <c r="A3">
        <v>500</v>
      </c>
      <c r="B3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D6B8-C98A-4493-899E-BA254811EE2A}">
  <dimension ref="A1:A2"/>
  <sheetViews>
    <sheetView workbookViewId="0">
      <selection activeCell="E20" sqref="E20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>
        <v>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FD80-8528-4104-A8D6-C393ED7DEAEA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52EA-06E8-447E-BBD9-3A3F6483B2D1}">
  <dimension ref="A1:B14"/>
  <sheetViews>
    <sheetView workbookViewId="0">
      <selection activeCell="J27" sqref="J27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255.55555555555554</v>
      </c>
      <c r="B2">
        <v>-896682.53114285716</v>
      </c>
    </row>
    <row r="3" spans="1:2" x14ac:dyDescent="0.3">
      <c r="A3">
        <v>298</v>
      </c>
      <c r="B3">
        <v>-857142.85714285716</v>
      </c>
    </row>
    <row r="4" spans="1:2" x14ac:dyDescent="0.3">
      <c r="A4">
        <v>444.44444444444446</v>
      </c>
      <c r="B4">
        <v>-690063.95114285708</v>
      </c>
    </row>
    <row r="5" spans="1:2" x14ac:dyDescent="0.3">
      <c r="A5">
        <v>555.55555555555554</v>
      </c>
      <c r="B5">
        <v>-536547.95114285708</v>
      </c>
    </row>
    <row r="6" spans="1:2" x14ac:dyDescent="0.3">
      <c r="A6">
        <v>644.44444444444446</v>
      </c>
      <c r="B6">
        <v>-401639.95114285703</v>
      </c>
    </row>
    <row r="7" spans="1:2" x14ac:dyDescent="0.3">
      <c r="A7">
        <v>833.33333333333326</v>
      </c>
      <c r="B7">
        <v>-91235.251142857189</v>
      </c>
    </row>
    <row r="8" spans="1:2" x14ac:dyDescent="0.3">
      <c r="A8">
        <v>1111.1111111111111</v>
      </c>
      <c r="B8">
        <v>405947.24885714287</v>
      </c>
    </row>
    <row r="9" spans="1:2" x14ac:dyDescent="0.3">
      <c r="A9">
        <v>1388.8888888888889</v>
      </c>
      <c r="B9">
        <v>933367.74885714299</v>
      </c>
    </row>
    <row r="10" spans="1:2" x14ac:dyDescent="0.3">
      <c r="A10">
        <v>1666.6666666666665</v>
      </c>
      <c r="B10">
        <v>1477070.2488571426</v>
      </c>
    </row>
    <row r="11" spans="1:2" x14ac:dyDescent="0.3">
      <c r="A11">
        <v>1944.4444444444443</v>
      </c>
      <c r="B11">
        <v>2028332.2488571429</v>
      </c>
    </row>
    <row r="12" spans="1:2" x14ac:dyDescent="0.3">
      <c r="A12">
        <v>2222.2222222222222</v>
      </c>
      <c r="B12">
        <v>2582501.7488571429</v>
      </c>
    </row>
    <row r="13" spans="1:2" x14ac:dyDescent="0.3">
      <c r="A13">
        <v>2777.7777777777778</v>
      </c>
      <c r="B13">
        <v>3696655.7488571433</v>
      </c>
    </row>
    <row r="14" spans="1:2" x14ac:dyDescent="0.3">
      <c r="A14">
        <v>3333.333333333333</v>
      </c>
      <c r="B14">
        <v>4813135.7488571424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6338-DE61-43DD-9460-A161D2355E47}">
  <dimension ref="A1:B14"/>
  <sheetViews>
    <sheetView workbookViewId="0">
      <selection activeCell="I34" sqref="I34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255.55555555555554</v>
      </c>
      <c r="B2">
        <v>-32164.858400000008</v>
      </c>
    </row>
    <row r="3" spans="1:2" x14ac:dyDescent="0.3">
      <c r="A3">
        <v>298</v>
      </c>
      <c r="B3">
        <v>0</v>
      </c>
    </row>
    <row r="4" spans="1:2" x14ac:dyDescent="0.3">
      <c r="A4">
        <v>444.44444444444446</v>
      </c>
      <c r="B4">
        <v>137341.92640000003</v>
      </c>
    </row>
    <row r="5" spans="1:2" x14ac:dyDescent="0.3">
      <c r="A5">
        <v>555.55555555555554</v>
      </c>
      <c r="B5">
        <v>271319.52639999997</v>
      </c>
    </row>
    <row r="6" spans="1:2" x14ac:dyDescent="0.3">
      <c r="A6">
        <v>644.44444444444446</v>
      </c>
      <c r="B6">
        <v>393574.08640000003</v>
      </c>
    </row>
    <row r="7" spans="1:2" x14ac:dyDescent="0.3">
      <c r="A7">
        <v>833.33333333333326</v>
      </c>
      <c r="B7">
        <v>686975.72639999993</v>
      </c>
    </row>
    <row r="8" spans="1:2" x14ac:dyDescent="0.3">
      <c r="A8">
        <v>1111.1111111111111</v>
      </c>
      <c r="B8">
        <v>1175435.7264</v>
      </c>
    </row>
    <row r="9" spans="1:2" x14ac:dyDescent="0.3">
      <c r="A9">
        <v>1388.8888888888889</v>
      </c>
      <c r="B9">
        <v>1704600.7264</v>
      </c>
    </row>
    <row r="10" spans="1:2" x14ac:dyDescent="0.3">
      <c r="A10">
        <v>1666.6666666666665</v>
      </c>
      <c r="B10">
        <v>2262840.7263999996</v>
      </c>
    </row>
    <row r="11" spans="1:2" x14ac:dyDescent="0.3">
      <c r="A11">
        <v>1944.4444444444443</v>
      </c>
      <c r="B11">
        <v>2838525.7264</v>
      </c>
    </row>
    <row r="12" spans="1:2" x14ac:dyDescent="0.3">
      <c r="A12">
        <v>2222.2222222222222</v>
      </c>
      <c r="B12">
        <v>3422351.7264</v>
      </c>
    </row>
    <row r="13" spans="1:2" x14ac:dyDescent="0.3">
      <c r="A13">
        <v>2777.7777777777778</v>
      </c>
      <c r="B13">
        <v>4601633.7264</v>
      </c>
    </row>
    <row r="14" spans="1:2" x14ac:dyDescent="0.3">
      <c r="A14">
        <v>3333.333333333333</v>
      </c>
      <c r="B14">
        <v>5792545.7263999991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Virgin_k</vt:lpstr>
      <vt:lpstr>Char_k</vt:lpstr>
      <vt:lpstr>Virgin_Cp</vt:lpstr>
      <vt:lpstr>Char_Cp</vt:lpstr>
      <vt:lpstr>Virgin_eps</vt:lpstr>
      <vt:lpstr>Char_eps</vt:lpstr>
      <vt:lpstr>Virgin_rho</vt:lpstr>
      <vt:lpstr>Char_rho</vt:lpstr>
      <vt:lpstr>Virgin_enthalpy</vt:lpstr>
      <vt:lpstr>Char_enthalpy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McAfee</dc:creator>
  <cp:lastModifiedBy>Kenneth McAfee</cp:lastModifiedBy>
  <dcterms:created xsi:type="dcterms:W3CDTF">2015-06-05T18:17:20Z</dcterms:created>
  <dcterms:modified xsi:type="dcterms:W3CDTF">2025-07-15T18:33:41Z</dcterms:modified>
</cp:coreProperties>
</file>